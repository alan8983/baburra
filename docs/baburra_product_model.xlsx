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ost Model (12mo)" sheetId="2" state="visible" r:id="rId4"/>
    <sheet name="Revenue Model (12mo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<sst xmlns="http://schemas.openxmlformats.org/spreadsheetml/2006/main" count="294" uniqueCount="227">
  <si>
    <t xml:space="preserve">Baburra Product Model — Assumptions</t>
  </si>
  <si>
    <t xml:space="preserve">1. External API Unit Costs</t>
  </si>
  <si>
    <t xml:space="preserve">Item</t>
  </si>
  <si>
    <t xml:space="preserve">Unit Cost</t>
  </si>
  <si>
    <t xml:space="preserve">Unit</t>
  </si>
  <si>
    <t xml:space="preserve">Notes / Source</t>
  </si>
  <si>
    <t xml:space="preserve">Gemini 2.5 Flash-Lite — Input</t>
  </si>
  <si>
    <t xml:space="preserve">per 1K tokens</t>
  </si>
  <si>
    <t xml:space="preserve">Current model (AI_SENTIMENT_MODEL). $0.10/1M input</t>
  </si>
  <si>
    <t xml:space="preserve">Gemini 2.5 Flash-Lite — Output</t>
  </si>
  <si>
    <t xml:space="preserve">$0.40/1M output</t>
  </si>
  <si>
    <t xml:space="preserve">Gemini 2.5 Flash — Input (upgrade path)</t>
  </si>
  <si>
    <t xml:space="preserve">$0.30/1M input. Zero migration effort.</t>
  </si>
  <si>
    <t xml:space="preserve">Gemini 2.5 Flash — Output (upgrade path)</t>
  </si>
  <si>
    <t xml:space="preserve">$2.50/1M output</t>
  </si>
  <si>
    <t xml:space="preserve">Deepgram Nova-3 — Pre-recorded</t>
  </si>
  <si>
    <t xml:space="preserve">per minute</t>
  </si>
  <si>
    <t xml:space="preserve">Batch transcription (video→text)</t>
  </si>
  <si>
    <t xml:space="preserve">Deepgram Nova-3 — Streaming</t>
  </si>
  <si>
    <t xml:space="preserve">Not needed for Baburra use case</t>
  </si>
  <si>
    <t xml:space="preserve">Apify TikTok Scraper</t>
  </si>
  <si>
    <t xml:space="preserve">per post</t>
  </si>
  <si>
    <t xml:space="preserve">$0.30/1K posts (apidojo actor)</t>
  </si>
  <si>
    <t xml:space="preserve">Apify Facebook Scraper</t>
  </si>
  <si>
    <t xml:space="preserve">Estimate — varies by actor</t>
  </si>
  <si>
    <t xml:space="preserve">Apify Compute Unit</t>
  </si>
  <si>
    <t xml:space="preserve">per CU</t>
  </si>
  <si>
    <t xml:space="preserve">1 CU = 1GB RAM × 1 hour</t>
  </si>
  <si>
    <t xml:space="preserve">YouTube Data API</t>
  </si>
  <si>
    <t xml:space="preserve">per call</t>
  </si>
  <si>
    <t xml:space="preserve">Free quota: 10K units/day. Transcript via youtube-transcript-plus: free</t>
  </si>
  <si>
    <t xml:space="preserve">Twitter/X oEmbed</t>
  </si>
  <si>
    <t xml:space="preserve">Free public endpoint</t>
  </si>
  <si>
    <t xml:space="preserve">Podcast RSS</t>
  </si>
  <si>
    <t xml:space="preserve">per feed</t>
  </si>
  <si>
    <t xml:space="preserve">Open standard, zero cost</t>
  </si>
  <si>
    <t xml:space="preserve">2. Infrastructure Fixed Costs (Monthly)</t>
  </si>
  <si>
    <t xml:space="preserve">Cost/mo</t>
  </si>
  <si>
    <t xml:space="preserve">Notes</t>
  </si>
  <si>
    <t xml:space="preserve">Vercel Hobby (current)</t>
  </si>
  <si>
    <t xml:space="preserve">—</t>
  </si>
  <si>
    <t xml:space="preserve">Free. crons removed to fix deploy. Consider Pro ($20/mo) for cron jobs</t>
  </si>
  <si>
    <t xml:space="preserve">Vercel Pro (future)</t>
  </si>
  <si>
    <t xml:space="preserve">Needed for scheduled seed scraping (cron)</t>
  </si>
  <si>
    <t xml:space="preserve">Supabase Pro</t>
  </si>
  <si>
    <t xml:space="preserve">$25 base + $10 compute credit. 8GB DB, 100K MAU</t>
  </si>
  <si>
    <t xml:space="preserve">Supabase Compute (Micro)</t>
  </si>
  <si>
    <t xml:space="preserve">Covered by $10 compute credit on Pro</t>
  </si>
  <si>
    <t xml:space="preserve">Domain (annual ÷ 12)</t>
  </si>
  <si>
    <t xml:space="preserve">~$12/yr estimate</t>
  </si>
  <si>
    <t xml:space="preserve">Deepgram $200 free credit</t>
  </si>
  <si>
    <t xml:space="preserve">Covers ~46,500 min of batch transcription. Lasts months at seed scale.</t>
  </si>
  <si>
    <t xml:space="preserve">Total Infra (Phase 1: Hobby+Supa Pro)</t>
  </si>
  <si>
    <t xml:space="preserve">Vercel Hobby + Supabase Pro + Domain</t>
  </si>
  <si>
    <t xml:space="preserve">Total Infra (Phase 2: Vercel Pro+Supa Pro)</t>
  </si>
  <si>
    <t xml:space="preserve">3. Content Processing Assumptions (per scrape)</t>
  </si>
  <si>
    <t xml:space="preserve">Content Type</t>
  </si>
  <si>
    <t xml:space="preserve">Avg Value</t>
  </si>
  <si>
    <t xml:space="preserve">Notes / Assumption</t>
  </si>
  <si>
    <t xml:space="preserve">YouTube long-form video</t>
  </si>
  <si>
    <t xml:space="preserve">min avg duration</t>
  </si>
  <si>
    <t xml:space="preserve">A: Typical TW stock KOL video 10-20 min</t>
  </si>
  <si>
    <t xml:space="preserve">YouTube Shorts</t>
  </si>
  <si>
    <t xml:space="preserve">A: ≤60s by definition</t>
  </si>
  <si>
    <t xml:space="preserve">Podcast episode</t>
  </si>
  <si>
    <t xml:space="preserve">A: Typical investment podcast 30-60 min</t>
  </si>
  <si>
    <t xml:space="preserve">TikTok video</t>
  </si>
  <si>
    <t xml:space="preserve">A: Short-form ≤60s</t>
  </si>
  <si>
    <t xml:space="preserve">Twitter/X post</t>
  </si>
  <si>
    <t xml:space="preserve">K tokens (input)</t>
  </si>
  <si>
    <t xml:space="preserve">A: ~100 words avg tweet → ~150 tokens</t>
  </si>
  <si>
    <t xml:space="preserve">Facebook post</t>
  </si>
  <si>
    <t xml:space="preserve">A: Longer than tweets, ~200 words</t>
  </si>
  <si>
    <t xml:space="preserve">Gemini prompt overhead</t>
  </si>
  <si>
    <t xml:space="preserve">A: System prompt + schema per call</t>
  </si>
  <si>
    <t xml:space="preserve">Gemini output per post</t>
  </si>
  <si>
    <t xml:space="preserve">K tokens (output)</t>
  </si>
  <si>
    <t xml:space="preserve">A: Structured JSON response ~350 tokens</t>
  </si>
  <si>
    <t xml:space="preserve">Posts per KOL scrape (YouTube)</t>
  </si>
  <si>
    <t xml:space="preserve">posts</t>
  </si>
  <si>
    <t xml:space="preserve">A: Last 10 videos per profile scrape</t>
  </si>
  <si>
    <t xml:space="preserve">Posts per KOL scrape (Twitter)</t>
  </si>
  <si>
    <t xml:space="preserve">A: Last 20 tweets per profile scrape</t>
  </si>
  <si>
    <t xml:space="preserve">Posts per KOL scrape (Podcast)</t>
  </si>
  <si>
    <t xml:space="preserve">episodes</t>
  </si>
  <si>
    <t xml:space="preserve">A: Last 5 episodes per feed scrape</t>
  </si>
  <si>
    <t xml:space="preserve">Posts per KOL scrape (TikTok)</t>
  </si>
  <si>
    <t xml:space="preserve">A: Last 15 videos per profile scrape</t>
  </si>
  <si>
    <t xml:space="preserve">Posts per KOL scrape (Facebook)</t>
  </si>
  <si>
    <t xml:space="preserve">A: Last 10 posts per profile scrape</t>
  </si>
  <si>
    <t xml:space="preserve">Quality gate pass rate</t>
  </si>
  <si>
    <t xml:space="preserve">ratio</t>
  </si>
  <si>
    <t xml:space="preserve">A: ~60% of posts contain actionable investment arguments</t>
  </si>
  <si>
    <t xml:space="preserve">Keyword pre-filter pass rate (short-form)</t>
  </si>
  <si>
    <t xml:space="preserve">A: 40% of short-form videos pass keyword filter before transcription</t>
  </si>
  <si>
    <t xml:space="preserve">4. Seed Scraping Pipeline Assumptions</t>
  </si>
  <si>
    <t xml:space="preserve">Parameter</t>
  </si>
  <si>
    <t xml:space="preserve">Value</t>
  </si>
  <si>
    <t xml:space="preserve">Seed KOL count (initial)</t>
  </si>
  <si>
    <t xml:space="preserve">KOLs</t>
  </si>
  <si>
    <t xml:space="preserve">A: From compiled seed list (TW+EN, YT+Twitter)</t>
  </si>
  <si>
    <t xml:space="preserve">Seed KOL — YouTube</t>
  </si>
  <si>
    <t xml:space="preserve">A: ~50% of seed KOLs are on YouTube</t>
  </si>
  <si>
    <t xml:space="preserve">Seed KOL — Twitter</t>
  </si>
  <si>
    <t xml:space="preserve">A: ~33% on Twitter</t>
  </si>
  <si>
    <t xml:space="preserve">Seed KOL — Podcast</t>
  </si>
  <si>
    <t xml:space="preserve">A: ~17% on Podcast RSS</t>
  </si>
  <si>
    <t xml:space="preserve">Scrape frequency</t>
  </si>
  <si>
    <t xml:space="preserve">times/month</t>
  </si>
  <si>
    <t xml:space="preserve">A: Bi-weekly for each seed KOL</t>
  </si>
  <si>
    <t xml:space="preserve">New posts per scrape (incremental)</t>
  </si>
  <si>
    <t xml:space="preserve">posts avg</t>
  </si>
  <si>
    <t xml:space="preserve">A: Only new posts since last scrape</t>
  </si>
  <si>
    <t xml:space="preserve">Months to meaningful Layer 3 data</t>
  </si>
  <si>
    <t xml:space="preserve">months</t>
  </si>
  <si>
    <t xml:space="preserve">A: Need ~6 months of data depth for backtesting</t>
  </si>
  <si>
    <t xml:space="preserve">5. Revenue &amp; User Assumptions</t>
  </si>
  <si>
    <t xml:space="preserve">Free tier — monthly credit allowance</t>
  </si>
  <si>
    <t xml:space="preserve">credits</t>
  </si>
  <si>
    <t xml:space="preserve">A: Enough for 2-3 KOL scrapes + 2 content unlocks</t>
  </si>
  <si>
    <t xml:space="preserve">Pro price</t>
  </si>
  <si>
    <t xml:space="preserve">$/mo</t>
  </si>
  <si>
    <t xml:space="preserve">Current plan</t>
  </si>
  <si>
    <t xml:space="preserve">Max price</t>
  </si>
  <si>
    <t xml:space="preserve">Credit pack price (à la carte)</t>
  </si>
  <si>
    <t xml:space="preserve">$/credit</t>
  </si>
  <si>
    <t xml:space="preserve">A: For Free/Pro users buying Layer 2/3 access</t>
  </si>
  <si>
    <t xml:space="preserve">Pro tier — monthly credits included</t>
  </si>
  <si>
    <t xml:space="preserve">A: Generous to reduce friction</t>
  </si>
  <si>
    <t xml:space="preserve">Max tier — monthly credits included</t>
  </si>
  <si>
    <t xml:space="preserve">Effectively unlimited</t>
  </si>
  <si>
    <t xml:space="preserve">Credit cost: Scrape 1 KOL profile</t>
  </si>
  <si>
    <t xml:space="preserve">A: Covers AI + scraping costs with margin</t>
  </si>
  <si>
    <t xml:space="preserve">Credit cost: Unlock Layer 2 (KOL×ticker)</t>
  </si>
  <si>
    <t xml:space="preserve">A: Low friction single unlock</t>
  </si>
  <si>
    <t xml:space="preserve">Credit cost: Unlock Layer 3 (Stock page)</t>
  </si>
  <si>
    <t xml:space="preserve">A: Premium insight, higher cost</t>
  </si>
  <si>
    <t xml:space="preserve">Stripe processing fee</t>
  </si>
  <si>
    <t xml:space="preserve">2.9% + $0.30 per txn</t>
  </si>
  <si>
    <t xml:space="preserve">Stripe per-txn fee</t>
  </si>
  <si>
    <t xml:space="preserve">$/txn</t>
  </si>
  <si>
    <t xml:space="preserve">Fixed component</t>
  </si>
  <si>
    <t xml:space="preserve">Free → Pro conversion rate</t>
  </si>
  <si>
    <t xml:space="preserve">A: 5% of free users convert. Industry avg 2-5%</t>
  </si>
  <si>
    <t xml:space="preserve">Pro → Max upgrade rate</t>
  </si>
  <si>
    <t xml:space="preserve">A: 15% of Pro users upgrade to Max</t>
  </si>
  <si>
    <t xml:space="preserve">Monthly churn (Pro)</t>
  </si>
  <si>
    <t xml:space="preserve">A: 8% monthly churn. Typical for niche SaaS early stage</t>
  </si>
  <si>
    <t xml:space="preserve">Monthly churn (Max)</t>
  </si>
  <si>
    <t xml:space="preserve">A: 5% — stickier power users</t>
  </si>
  <si>
    <t xml:space="preserve">6. User Acquisition &amp; Marketing Assumptions</t>
  </si>
  <si>
    <t xml:space="preserve">Channel / Parameter</t>
  </si>
  <si>
    <t xml:space="preserve">Phase 1: Personal network (M1-M2)</t>
  </si>
  <si>
    <t xml:space="preserve">signups total</t>
  </si>
  <si>
    <t xml:space="preserve">A: Friends, colleagues. Curiosity framing.</t>
  </si>
  <si>
    <t xml:space="preserve">Phase 1: Conversion to Pro</t>
  </si>
  <si>
    <t xml:space="preserve">A: 20% — warm leads, higher than cold</t>
  </si>
  <si>
    <t xml:space="preserve">Phase 2: FB investment communities (M2-M4)</t>
  </si>
  <si>
    <t xml:space="preserve">signups/mo</t>
  </si>
  <si>
    <t xml:space="preserve">A: Data-driven content posts, 2-3 communities</t>
  </si>
  <si>
    <t xml:space="preserve">Phase 2: Conversion to Pro</t>
  </si>
  <si>
    <t xml:space="preserve">A: 8% — warm but less targeted</t>
  </si>
  <si>
    <t xml:space="preserve">Phase 3: X build-in-public (M3+)</t>
  </si>
  <si>
    <t xml:space="preserve">A: Slower organic growth, compounding</t>
  </si>
  <si>
    <t xml:space="preserve">Phase 3: Monthly growth rate</t>
  </si>
  <si>
    <t xml:space="preserve">A: 15% MoM growth in X signups after M6</t>
  </si>
  <si>
    <t xml:space="preserve">Content creation time</t>
  </si>
  <si>
    <t xml:space="preserve">hrs/week</t>
  </si>
  <si>
    <t xml:space="preserve">A: Blog posts, X threads, FB posts — founder time</t>
  </si>
  <si>
    <t xml:space="preserve">Paid ads budget</t>
  </si>
  <si>
    <t xml:space="preserve">A: $0 — organic only per minimalist playbook</t>
  </si>
  <si>
    <t xml:space="preserve">Target: 100 paying users by</t>
  </si>
  <si>
    <t xml:space="preserve">A: Stretch goal</t>
  </si>
  <si>
    <t xml:space="preserve">CAC (organic, founder time valued at $0)</t>
  </si>
  <si>
    <t xml:space="preserve">$</t>
  </si>
  <si>
    <t xml:space="preserve">A: Solo founder, opportunity cost not counted</t>
  </si>
  <si>
    <t xml:space="preserve">Baburra — Monthly Cost Projection (12 Months)</t>
  </si>
  <si>
    <t xml:space="preserve">Month →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</si>
  <si>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</si>
  <si>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</si>
  <si>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</si>
  <si>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</si>
  <si>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</si>
  <si>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</si>
  <si>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</si>
  <si>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</si>
  <si>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</si>
  <si>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</si>
  <si>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</si>
  <si>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</si>
  <si>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Seed Scraping Costs (Platform-funded)</t>
  </si>
  <si>
    <t xml:space="preserve">Seed KOLs tracked</t>
  </si>
  <si>
    <t xml:space="preserve">Scrapes/month (total)</t>
  </si>
  <si>
    <t xml:space="preserve">New posts processed/month</t>
  </si>
  <si>
    <t xml:space="preserve">YouTube video minutes transcribed</t>
  </si>
  <si>
    <t xml:space="preserve">Podcast minutes transcribed</t>
  </si>
  <si>
    <t xml:space="preserve">Deepgram cost</t>
  </si>
  <si>
    <t xml:space="preserve">Gemini input tokens (K)</t>
  </si>
  <si>
    <t xml:space="preserve">Gemini output tokens (K)</t>
  </si>
  <si>
    <t xml:space="preserve">Gemini cost</t>
  </si>
  <si>
    <t xml:space="preserve">Total seed scraping cost/mo</t>
  </si>
  <si>
    <t xml:space="preserve">Infrastructure Costs</t>
  </si>
  <si>
    <t xml:space="preserve">Vercel</t>
  </si>
  <si>
    <t xml:space="preserve">Domain</t>
  </si>
  <si>
    <t xml:space="preserve">Total Infrastructure</t>
  </si>
  <si>
    <t xml:space="preserve">Total Monthly Costs (Platform)</t>
  </si>
  <si>
    <t xml:space="preserve">TOTAL COST / MONTH</t>
  </si>
  <si>
    <t xml:space="preserve">Baburra — Monthly Revenue Projection (12 Months)</t>
  </si>
  <si>
    <t xml:space="preserve">User Growth</t>
  </si>
  <si>
    <t xml:space="preserve">Free users (cumulative)</t>
  </si>
  <si>
    <t xml:space="preserve">Pro subscribers</t>
  </si>
  <si>
    <t xml:space="preserve">Max subscribers</t>
  </si>
  <si>
    <t xml:space="preserve">Total paying users</t>
  </si>
  <si>
    <t xml:space="preserve">Total users (all tiers)</t>
  </si>
  <si>
    <t xml:space="preserve">Subscription Revenue</t>
  </si>
  <si>
    <t xml:space="preserve">Pro MRR</t>
  </si>
  <si>
    <t xml:space="preserve">Max MRR</t>
  </si>
  <si>
    <t xml:space="preserve">Credit pack revenue (est)</t>
  </si>
  <si>
    <t xml:space="preserve">Gross Revenue</t>
  </si>
  <si>
    <t xml:space="preserve">Stripe fees</t>
  </si>
  <si>
    <t xml:space="preserve">Net Revenue</t>
  </si>
  <si>
    <t xml:space="preserve">Unit Economics Snapshot</t>
  </si>
  <si>
    <t xml:space="preserve">ARPU (paying)</t>
  </si>
  <si>
    <t xml:space="preserve">Total platform cost (from Cost sheet)</t>
  </si>
  <si>
    <t xml:space="preserve">Cost per paying user</t>
  </si>
  <si>
    <t xml:space="preserve">Contribution margin per user</t>
  </si>
  <si>
    <t xml:space="preserve">Monthly burn (Cost - Net Rev)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</si>
</sst>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00"/>
    <numFmt numFmtId="166" formatCode="\$#,##0"/>
    <numFmt numFmtId="167" formatCode="0.0%"/>
    <numFmt numFmtId="168" formatCode="#,##0.0"/>
    <numFmt numFmtId="169" formatCode="#,##0"/>
    <numFmt numFmtId="170" formatCode="\$#,##0.00"/>
    <numFmt numFmtId="171" formatCode="&quot;($&quot;#,##0.00\)"/>
    <numFmt numFmtId="172" formatCode="\$#,##0.00;&quot;($&quot;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FF000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E2EFDA"/>
      </patternFill>
    </fill>
    <fill>
      <patternFill patternType="solid">
        <fgColor rgb="FF4472C4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0.0001</v>
      </c>
      <c r="C5" s="4" t="s">
        <v>7</v>
      </c>
      <c r="D5" s="6" t="s">
        <v>8</v>
      </c>
    </row>
    <row r="6" customFormat="false" ht="15" hidden="false" customHeight="false" outlineLevel="0" collapsed="false">
      <c r="A6" s="4" t="s">
        <v>9</v>
      </c>
      <c r="B6" s="5" t="n">
        <v>0.0004</v>
      </c>
      <c r="C6" s="4" t="s">
        <v>7</v>
      </c>
      <c r="D6" s="6" t="s">
        <v>10</v>
      </c>
    </row>
    <row r="7" customFormat="false" ht="15" hidden="false" customHeight="false" outlineLevel="0" collapsed="false">
      <c r="A7" s="4" t="s">
        <v>11</v>
      </c>
      <c r="B7" s="5" t="n">
        <v>0.0003</v>
      </c>
      <c r="C7" s="4" t="s">
        <v>7</v>
      </c>
      <c r="D7" s="6" t="s">
        <v>12</v>
      </c>
    </row>
    <row r="8" customFormat="false" ht="15" hidden="false" customHeight="false" outlineLevel="0" collapsed="false">
      <c r="A8" s="4" t="s">
        <v>13</v>
      </c>
      <c r="B8" s="5" t="n">
        <v>0.0025</v>
      </c>
      <c r="C8" s="4" t="s">
        <v>7</v>
      </c>
      <c r="D8" s="6" t="s">
        <v>14</v>
      </c>
    </row>
    <row r="9" customFormat="false" ht="15" hidden="false" customHeight="false" outlineLevel="0" collapsed="false">
      <c r="A9" s="4" t="s">
        <v>15</v>
      </c>
      <c r="B9" s="5" t="n">
        <v>0.0043</v>
      </c>
      <c r="C9" s="4" t="s">
        <v>16</v>
      </c>
      <c r="D9" s="6" t="s">
        <v>17</v>
      </c>
    </row>
    <row r="10" customFormat="false" ht="15" hidden="false" customHeight="false" outlineLevel="0" collapsed="false">
      <c r="A10" s="4" t="s">
        <v>18</v>
      </c>
      <c r="B10" s="5" t="n">
        <v>0.0077</v>
      </c>
      <c r="C10" s="4" t="s">
        <v>16</v>
      </c>
      <c r="D10" s="6" t="s">
        <v>19</v>
      </c>
    </row>
    <row r="11" customFormat="false" ht="15" hidden="false" customHeight="false" outlineLevel="0" collapsed="false">
      <c r="A11" s="4" t="s">
        <v>20</v>
      </c>
      <c r="B11" s="5" t="n">
        <v>0.0003</v>
      </c>
      <c r="C11" s="4" t="s">
        <v>21</v>
      </c>
      <c r="D11" s="6" t="s">
        <v>22</v>
      </c>
    </row>
    <row r="12" customFormat="false" ht="15" hidden="false" customHeight="false" outlineLevel="0" collapsed="false">
      <c r="A12" s="4" t="s">
        <v>23</v>
      </c>
      <c r="B12" s="5" t="n">
        <v>0.001</v>
      </c>
      <c r="C12" s="4" t="s">
        <v>21</v>
      </c>
      <c r="D12" s="6" t="s">
        <v>24</v>
      </c>
    </row>
    <row r="13" customFormat="false" ht="15" hidden="false" customHeight="false" outlineLevel="0" collapsed="false">
      <c r="A13" s="4" t="s">
        <v>25</v>
      </c>
      <c r="B13" s="5" t="n">
        <v>0.25</v>
      </c>
      <c r="C13" s="4" t="s">
        <v>26</v>
      </c>
      <c r="D13" s="6" t="s">
        <v>27</v>
      </c>
    </row>
    <row r="14" customFormat="false" ht="15" hidden="false" customHeight="false" outlineLevel="0" collapsed="false">
      <c r="A14" s="4" t="s">
        <v>28</v>
      </c>
      <c r="B14" s="5" t="n">
        <v>0</v>
      </c>
      <c r="C14" s="4" t="s">
        <v>29</v>
      </c>
      <c r="D14" s="6" t="s">
        <v>30</v>
      </c>
    </row>
    <row r="15" customFormat="false" ht="15" hidden="false" customHeight="false" outlineLevel="0" collapsed="false">
      <c r="A15" s="4" t="s">
        <v>31</v>
      </c>
      <c r="B15" s="5" t="n">
        <v>0</v>
      </c>
      <c r="C15" s="4" t="s">
        <v>29</v>
      </c>
      <c r="D15" s="6" t="s">
        <v>32</v>
      </c>
    </row>
    <row r="16" customFormat="false" ht="15" hidden="false" customHeight="false" outlineLevel="0" collapsed="false">
      <c r="A16" s="4" t="s">
        <v>33</v>
      </c>
      <c r="B16" s="5" t="n">
        <v>0</v>
      </c>
      <c r="C16" s="4" t="s">
        <v>34</v>
      </c>
      <c r="D16" s="6" t="s">
        <v>35</v>
      </c>
    </row>
    <row r="18" customFormat="false" ht="15" hidden="false" customHeight="false" outlineLevel="0" collapsed="false">
      <c r="A18" s="2" t="s">
        <v>36</v>
      </c>
      <c r="B18" s="2"/>
      <c r="C18" s="2"/>
      <c r="D18" s="2"/>
    </row>
    <row r="19" customFormat="false" ht="15" hidden="false" customHeight="false" outlineLevel="0" collapsed="false">
      <c r="A19" s="3" t="s">
        <v>2</v>
      </c>
      <c r="B19" s="3" t="s">
        <v>37</v>
      </c>
      <c r="C19" s="3" t="s">
        <v>4</v>
      </c>
      <c r="D19" s="3" t="s">
        <v>38</v>
      </c>
    </row>
    <row r="20" customFormat="false" ht="15" hidden="false" customHeight="false" outlineLevel="0" collapsed="false">
      <c r="A20" s="4" t="s">
        <v>39</v>
      </c>
      <c r="B20" s="7" t="n">
        <v>0</v>
      </c>
      <c r="C20" s="4" t="s">
        <v>40</v>
      </c>
      <c r="D20" s="6" t="s">
        <v>41</v>
      </c>
    </row>
    <row r="21" customFormat="false" ht="15" hidden="false" customHeight="false" outlineLevel="0" collapsed="false">
      <c r="A21" s="4" t="s">
        <v>42</v>
      </c>
      <c r="B21" s="7" t="n">
        <v>20</v>
      </c>
      <c r="C21" s="4" t="s">
        <v>40</v>
      </c>
      <c r="D21" s="6" t="s">
        <v>43</v>
      </c>
    </row>
    <row r="22" customFormat="false" ht="15" hidden="false" customHeight="false" outlineLevel="0" collapsed="false">
      <c r="A22" s="4" t="s">
        <v>44</v>
      </c>
      <c r="B22" s="7" t="n">
        <v>25</v>
      </c>
      <c r="C22" s="4" t="s">
        <v>40</v>
      </c>
      <c r="D22" s="6" t="s">
        <v>45</v>
      </c>
    </row>
    <row r="23" customFormat="false" ht="15" hidden="false" customHeight="false" outlineLevel="0" collapsed="false">
      <c r="A23" s="4" t="s">
        <v>46</v>
      </c>
      <c r="B23" s="7" t="n">
        <v>0</v>
      </c>
      <c r="C23" s="4" t="s">
        <v>40</v>
      </c>
      <c r="D23" s="6" t="s">
        <v>47</v>
      </c>
    </row>
    <row r="24" customFormat="false" ht="15" hidden="false" customHeight="false" outlineLevel="0" collapsed="false">
      <c r="A24" s="4" t="s">
        <v>48</v>
      </c>
      <c r="B24" s="7" t="n">
        <v>1</v>
      </c>
      <c r="C24" s="4" t="s">
        <v>40</v>
      </c>
      <c r="D24" s="6" t="s">
        <v>49</v>
      </c>
    </row>
    <row r="25" customFormat="false" ht="15" hidden="false" customHeight="false" outlineLevel="0" collapsed="false">
      <c r="A25" s="4" t="s">
        <v>50</v>
      </c>
      <c r="B25" s="7" t="n">
        <v>0</v>
      </c>
      <c r="C25" s="4" t="s">
        <v>40</v>
      </c>
      <c r="D25" s="6" t="s">
        <v>51</v>
      </c>
    </row>
    <row r="26" customFormat="false" ht="15" hidden="false" customHeight="false" outlineLevel="0" collapsed="false">
      <c r="A26" s="8" t="s">
        <v>52</v>
      </c>
      <c r="B26" s="9" t="n">
        <f aca="false">B20+B22+B24</f>
        <v>26</v>
      </c>
      <c r="C26" s="10"/>
      <c r="D26" s="6" t="s">
        <v>53</v>
      </c>
    </row>
    <row r="27" customFormat="false" ht="15" hidden="false" customHeight="false" outlineLevel="0" collapsed="false">
      <c r="A27" s="8" t="s">
        <v>54</v>
      </c>
      <c r="B27" s="9" t="n">
        <f aca="false">B21+B22+B24</f>
        <v>46</v>
      </c>
      <c r="C27" s="10"/>
      <c r="D27" s="10"/>
    </row>
    <row r="29" customFormat="false" ht="15" hidden="false" customHeight="false" outlineLevel="0" collapsed="false">
      <c r="A29" s="2" t="s">
        <v>55</v>
      </c>
      <c r="B29" s="2"/>
      <c r="C29" s="2"/>
      <c r="D29" s="2"/>
    </row>
    <row r="30" customFormat="false" ht="15" hidden="false" customHeight="false" outlineLevel="0" collapsed="false">
      <c r="A30" s="3" t="s">
        <v>56</v>
      </c>
      <c r="B30" s="3" t="s">
        <v>57</v>
      </c>
      <c r="C30" s="3" t="s">
        <v>4</v>
      </c>
      <c r="D30" s="3" t="s">
        <v>58</v>
      </c>
    </row>
    <row r="31" customFormat="false" ht="15" hidden="false" customHeight="false" outlineLevel="0" collapsed="false">
      <c r="A31" s="4" t="s">
        <v>59</v>
      </c>
      <c r="B31" s="11" t="n">
        <v>15</v>
      </c>
      <c r="C31" s="4" t="s">
        <v>60</v>
      </c>
      <c r="D31" s="6" t="s">
        <v>61</v>
      </c>
    </row>
    <row r="32" customFormat="false" ht="15" hidden="false" customHeight="false" outlineLevel="0" collapsed="false">
      <c r="A32" s="4" t="s">
        <v>62</v>
      </c>
      <c r="B32" s="11" t="n">
        <v>0.5</v>
      </c>
      <c r="C32" s="4" t="s">
        <v>60</v>
      </c>
      <c r="D32" s="6" t="s">
        <v>63</v>
      </c>
    </row>
    <row r="33" customFormat="false" ht="15" hidden="false" customHeight="false" outlineLevel="0" collapsed="false">
      <c r="A33" s="4" t="s">
        <v>64</v>
      </c>
      <c r="B33" s="11" t="n">
        <v>45</v>
      </c>
      <c r="C33" s="4" t="s">
        <v>60</v>
      </c>
      <c r="D33" s="6" t="s">
        <v>65</v>
      </c>
    </row>
    <row r="34" customFormat="false" ht="15" hidden="false" customHeight="false" outlineLevel="0" collapsed="false">
      <c r="A34" s="4" t="s">
        <v>66</v>
      </c>
      <c r="B34" s="11" t="n">
        <v>0.5</v>
      </c>
      <c r="C34" s="4" t="s">
        <v>60</v>
      </c>
      <c r="D34" s="6" t="s">
        <v>67</v>
      </c>
    </row>
    <row r="35" customFormat="false" ht="15" hidden="false" customHeight="false" outlineLevel="0" collapsed="false">
      <c r="A35" s="4" t="s">
        <v>68</v>
      </c>
      <c r="B35" s="12" t="n">
        <v>0.15</v>
      </c>
      <c r="C35" s="4" t="s">
        <v>69</v>
      </c>
      <c r="D35" s="6" t="s">
        <v>70</v>
      </c>
    </row>
    <row r="36" customFormat="false" ht="15" hidden="false" customHeight="false" outlineLevel="0" collapsed="false">
      <c r="A36" s="4" t="s">
        <v>71</v>
      </c>
      <c r="B36" s="12" t="n">
        <v>0.3</v>
      </c>
      <c r="C36" s="4" t="s">
        <v>69</v>
      </c>
      <c r="D36" s="6" t="s">
        <v>72</v>
      </c>
    </row>
    <row r="37" customFormat="false" ht="15" hidden="false" customHeight="false" outlineLevel="0" collapsed="false">
      <c r="A37" s="4" t="s">
        <v>73</v>
      </c>
      <c r="B37" s="12" t="n">
        <v>1.5</v>
      </c>
      <c r="C37" s="4" t="s">
        <v>69</v>
      </c>
      <c r="D37" s="6" t="s">
        <v>74</v>
      </c>
    </row>
    <row r="38" customFormat="false" ht="15" hidden="false" customHeight="false" outlineLevel="0" collapsed="false">
      <c r="A38" s="4" t="s">
        <v>75</v>
      </c>
      <c r="B38" s="12" t="n">
        <v>0.5</v>
      </c>
      <c r="C38" s="4" t="s">
        <v>76</v>
      </c>
      <c r="D38" s="6" t="s">
        <v>77</v>
      </c>
    </row>
    <row r="39" customFormat="false" ht="15" hidden="false" customHeight="false" outlineLevel="0" collapsed="false">
      <c r="A39" s="4" t="s">
        <v>78</v>
      </c>
      <c r="B39" s="12" t="n">
        <v>10</v>
      </c>
      <c r="C39" s="4" t="s">
        <v>79</v>
      </c>
      <c r="D39" s="6" t="s">
        <v>80</v>
      </c>
    </row>
    <row r="40" customFormat="false" ht="15" hidden="false" customHeight="false" outlineLevel="0" collapsed="false">
      <c r="A40" s="4" t="s">
        <v>81</v>
      </c>
      <c r="B40" s="12" t="n">
        <v>20</v>
      </c>
      <c r="C40" s="4" t="s">
        <v>79</v>
      </c>
      <c r="D40" s="6" t="s">
        <v>82</v>
      </c>
    </row>
    <row r="41" customFormat="false" ht="15" hidden="false" customHeight="false" outlineLevel="0" collapsed="false">
      <c r="A41" s="4" t="s">
        <v>83</v>
      </c>
      <c r="B41" s="12" t="n">
        <v>5</v>
      </c>
      <c r="C41" s="4" t="s">
        <v>84</v>
      </c>
      <c r="D41" s="6" t="s">
        <v>85</v>
      </c>
    </row>
    <row r="42" customFormat="false" ht="15" hidden="false" customHeight="false" outlineLevel="0" collapsed="false">
      <c r="A42" s="4" t="s">
        <v>86</v>
      </c>
      <c r="B42" s="12" t="n">
        <v>15</v>
      </c>
      <c r="C42" s="4" t="s">
        <v>79</v>
      </c>
      <c r="D42" s="6" t="s">
        <v>87</v>
      </c>
    </row>
    <row r="43" customFormat="false" ht="15" hidden="false" customHeight="false" outlineLevel="0" collapsed="false">
      <c r="A43" s="4" t="s">
        <v>88</v>
      </c>
      <c r="B43" s="12" t="n">
        <v>10</v>
      </c>
      <c r="C43" s="4" t="s">
        <v>79</v>
      </c>
      <c r="D43" s="6" t="s">
        <v>89</v>
      </c>
    </row>
    <row r="44" customFormat="false" ht="15" hidden="false" customHeight="false" outlineLevel="0" collapsed="false">
      <c r="A44" s="4" t="s">
        <v>90</v>
      </c>
      <c r="B44" s="11" t="n">
        <v>0.6</v>
      </c>
      <c r="C44" s="4" t="s">
        <v>91</v>
      </c>
      <c r="D44" s="6" t="s">
        <v>92</v>
      </c>
    </row>
    <row r="45" customFormat="false" ht="15" hidden="false" customHeight="false" outlineLevel="0" collapsed="false">
      <c r="A45" s="4" t="s">
        <v>93</v>
      </c>
      <c r="B45" s="11" t="n">
        <v>0.4</v>
      </c>
      <c r="C45" s="4" t="s">
        <v>91</v>
      </c>
      <c r="D45" s="6" t="s">
        <v>94</v>
      </c>
    </row>
    <row r="47" customFormat="false" ht="15" hidden="false" customHeight="false" outlineLevel="0" collapsed="false">
      <c r="A47" s="2" t="s">
        <v>95</v>
      </c>
      <c r="B47" s="2"/>
      <c r="C47" s="2"/>
      <c r="D47" s="2"/>
    </row>
    <row r="48" customFormat="false" ht="15" hidden="false" customHeight="false" outlineLevel="0" collapsed="false">
      <c r="A48" s="3" t="s">
        <v>96</v>
      </c>
      <c r="B48" s="3" t="s">
        <v>97</v>
      </c>
      <c r="C48" s="3" t="s">
        <v>4</v>
      </c>
      <c r="D48" s="3" t="s">
        <v>58</v>
      </c>
    </row>
    <row r="49" customFormat="false" ht="15" hidden="false" customHeight="false" outlineLevel="0" collapsed="false">
      <c r="A49" s="4" t="s">
        <v>98</v>
      </c>
      <c r="B49" s="13" t="n">
        <v>30</v>
      </c>
      <c r="C49" s="4" t="s">
        <v>99</v>
      </c>
      <c r="D49" s="6" t="s">
        <v>100</v>
      </c>
    </row>
    <row r="50" customFormat="false" ht="15" hidden="false" customHeight="false" outlineLevel="0" collapsed="false">
      <c r="A50" s="4" t="s">
        <v>101</v>
      </c>
      <c r="B50" s="13" t="n">
        <v>15</v>
      </c>
      <c r="C50" s="4" t="s">
        <v>99</v>
      </c>
      <c r="D50" s="6" t="s">
        <v>102</v>
      </c>
    </row>
    <row r="51" customFormat="false" ht="15" hidden="false" customHeight="false" outlineLevel="0" collapsed="false">
      <c r="A51" s="4" t="s">
        <v>103</v>
      </c>
      <c r="B51" s="13" t="n">
        <v>10</v>
      </c>
      <c r="C51" s="4" t="s">
        <v>99</v>
      </c>
      <c r="D51" s="6" t="s">
        <v>104</v>
      </c>
    </row>
    <row r="52" customFormat="false" ht="15" hidden="false" customHeight="false" outlineLevel="0" collapsed="false">
      <c r="A52" s="4" t="s">
        <v>105</v>
      </c>
      <c r="B52" s="13" t="n">
        <v>5</v>
      </c>
      <c r="C52" s="4" t="s">
        <v>99</v>
      </c>
      <c r="D52" s="6" t="s">
        <v>106</v>
      </c>
    </row>
    <row r="53" customFormat="false" ht="15" hidden="false" customHeight="false" outlineLevel="0" collapsed="false">
      <c r="A53" s="4" t="s">
        <v>107</v>
      </c>
      <c r="B53" s="13" t="n">
        <v>2</v>
      </c>
      <c r="C53" s="4" t="s">
        <v>108</v>
      </c>
      <c r="D53" s="6" t="s">
        <v>109</v>
      </c>
    </row>
    <row r="54" customFormat="false" ht="15" hidden="false" customHeight="false" outlineLevel="0" collapsed="false">
      <c r="A54" s="4" t="s">
        <v>110</v>
      </c>
      <c r="B54" s="13" t="n">
        <v>3</v>
      </c>
      <c r="C54" s="4" t="s">
        <v>111</v>
      </c>
      <c r="D54" s="6" t="s">
        <v>112</v>
      </c>
    </row>
    <row r="55" customFormat="false" ht="15" hidden="false" customHeight="false" outlineLevel="0" collapsed="false">
      <c r="A55" s="4" t="s">
        <v>113</v>
      </c>
      <c r="B55" s="13" t="n">
        <v>6</v>
      </c>
      <c r="C55" s="4" t="s">
        <v>114</v>
      </c>
      <c r="D55" s="6" t="s">
        <v>115</v>
      </c>
    </row>
    <row r="57" customFormat="false" ht="15" hidden="false" customHeight="false" outlineLevel="0" collapsed="false">
      <c r="A57" s="2" t="s">
        <v>116</v>
      </c>
      <c r="B57" s="2"/>
      <c r="C57" s="2"/>
      <c r="D57" s="2"/>
    </row>
    <row r="58" customFormat="false" ht="15" hidden="false" customHeight="false" outlineLevel="0" collapsed="false">
      <c r="A58" s="3" t="s">
        <v>96</v>
      </c>
      <c r="B58" s="3" t="s">
        <v>97</v>
      </c>
      <c r="C58" s="3" t="s">
        <v>4</v>
      </c>
      <c r="D58" s="3" t="s">
        <v>58</v>
      </c>
    </row>
    <row r="59" customFormat="false" ht="15" hidden="false" customHeight="false" outlineLevel="0" collapsed="false">
      <c r="A59" s="4" t="s">
        <v>117</v>
      </c>
      <c r="B59" s="13" t="n">
        <v>5</v>
      </c>
      <c r="C59" s="4" t="s">
        <v>118</v>
      </c>
      <c r="D59" s="6" t="s">
        <v>119</v>
      </c>
    </row>
    <row r="60" customFormat="false" ht="15" hidden="false" customHeight="false" outlineLevel="0" collapsed="false">
      <c r="A60" s="4" t="s">
        <v>120</v>
      </c>
      <c r="B60" s="14" t="n">
        <v>9.99</v>
      </c>
      <c r="C60" s="4" t="s">
        <v>121</v>
      </c>
      <c r="D60" s="6" t="s">
        <v>122</v>
      </c>
    </row>
    <row r="61" customFormat="false" ht="15" hidden="false" customHeight="false" outlineLevel="0" collapsed="false">
      <c r="A61" s="4" t="s">
        <v>123</v>
      </c>
      <c r="B61" s="14" t="n">
        <v>24.99</v>
      </c>
      <c r="C61" s="4" t="s">
        <v>121</v>
      </c>
      <c r="D61" s="6" t="s">
        <v>122</v>
      </c>
    </row>
    <row r="62" customFormat="false" ht="15" hidden="false" customHeight="false" outlineLevel="0" collapsed="false">
      <c r="A62" s="4" t="s">
        <v>124</v>
      </c>
      <c r="B62" s="14" t="n">
        <v>0.5</v>
      </c>
      <c r="C62" s="4" t="s">
        <v>125</v>
      </c>
      <c r="D62" s="6" t="s">
        <v>126</v>
      </c>
    </row>
    <row r="63" customFormat="false" ht="15" hidden="false" customHeight="false" outlineLevel="0" collapsed="false">
      <c r="A63" s="4" t="s">
        <v>127</v>
      </c>
      <c r="B63" s="13" t="n">
        <v>50</v>
      </c>
      <c r="C63" s="4" t="s">
        <v>118</v>
      </c>
      <c r="D63" s="6" t="s">
        <v>128</v>
      </c>
    </row>
    <row r="64" customFormat="false" ht="15" hidden="false" customHeight="false" outlineLevel="0" collapsed="false">
      <c r="A64" s="4" t="s">
        <v>129</v>
      </c>
      <c r="B64" s="13" t="n">
        <v>999</v>
      </c>
      <c r="C64" s="4" t="s">
        <v>118</v>
      </c>
      <c r="D64" s="6" t="s">
        <v>130</v>
      </c>
    </row>
    <row r="65" customFormat="false" ht="15" hidden="false" customHeight="false" outlineLevel="0" collapsed="false">
      <c r="A65" s="4" t="s">
        <v>131</v>
      </c>
      <c r="B65" s="13" t="n">
        <v>3</v>
      </c>
      <c r="C65" s="4" t="s">
        <v>118</v>
      </c>
      <c r="D65" s="6" t="s">
        <v>132</v>
      </c>
    </row>
    <row r="66" customFormat="false" ht="15" hidden="false" customHeight="false" outlineLevel="0" collapsed="false">
      <c r="A66" s="4" t="s">
        <v>133</v>
      </c>
      <c r="B66" s="13" t="n">
        <v>1</v>
      </c>
      <c r="C66" s="4" t="s">
        <v>118</v>
      </c>
      <c r="D66" s="6" t="s">
        <v>134</v>
      </c>
    </row>
    <row r="67" customFormat="false" ht="15" hidden="false" customHeight="false" outlineLevel="0" collapsed="false">
      <c r="A67" s="4" t="s">
        <v>135</v>
      </c>
      <c r="B67" s="13" t="n">
        <v>5</v>
      </c>
      <c r="C67" s="4" t="s">
        <v>118</v>
      </c>
      <c r="D67" s="6" t="s">
        <v>136</v>
      </c>
    </row>
    <row r="68" customFormat="false" ht="15" hidden="false" customHeight="false" outlineLevel="0" collapsed="false">
      <c r="A68" s="4" t="s">
        <v>137</v>
      </c>
      <c r="B68" s="11" t="n">
        <v>0.029</v>
      </c>
      <c r="C68" s="4" t="s">
        <v>91</v>
      </c>
      <c r="D68" s="6" t="s">
        <v>138</v>
      </c>
    </row>
    <row r="69" customFormat="false" ht="15" hidden="false" customHeight="false" outlineLevel="0" collapsed="false">
      <c r="A69" s="4" t="s">
        <v>139</v>
      </c>
      <c r="B69" s="14" t="n">
        <v>0.3</v>
      </c>
      <c r="C69" s="4" t="s">
        <v>140</v>
      </c>
      <c r="D69" s="6" t="s">
        <v>141</v>
      </c>
    </row>
    <row r="70" customFormat="false" ht="15" hidden="false" customHeight="false" outlineLevel="0" collapsed="false">
      <c r="A70" s="4" t="s">
        <v>142</v>
      </c>
      <c r="B70" s="11" t="n">
        <v>0.05</v>
      </c>
      <c r="C70" s="4" t="s">
        <v>91</v>
      </c>
      <c r="D70" s="6" t="s">
        <v>143</v>
      </c>
    </row>
    <row r="71" customFormat="false" ht="15" hidden="false" customHeight="false" outlineLevel="0" collapsed="false">
      <c r="A71" s="4" t="s">
        <v>144</v>
      </c>
      <c r="B71" s="11" t="n">
        <v>0.15</v>
      </c>
      <c r="C71" s="4" t="s">
        <v>91</v>
      </c>
      <c r="D71" s="6" t="s">
        <v>145</v>
      </c>
    </row>
    <row r="72" customFormat="false" ht="15" hidden="false" customHeight="false" outlineLevel="0" collapsed="false">
      <c r="A72" s="4" t="s">
        <v>146</v>
      </c>
      <c r="B72" s="11" t="n">
        <v>0.08</v>
      </c>
      <c r="C72" s="4" t="s">
        <v>91</v>
      </c>
      <c r="D72" s="6" t="s">
        <v>147</v>
      </c>
    </row>
    <row r="73" customFormat="false" ht="15" hidden="false" customHeight="false" outlineLevel="0" collapsed="false">
      <c r="A73" s="4" t="s">
        <v>148</v>
      </c>
      <c r="B73" s="11" t="n">
        <v>0.05</v>
      </c>
      <c r="C73" s="4" t="s">
        <v>91</v>
      </c>
      <c r="D73" s="6" t="s">
        <v>149</v>
      </c>
    </row>
    <row r="75" customFormat="false" ht="15" hidden="false" customHeight="false" outlineLevel="0" collapsed="false">
      <c r="A75" s="2" t="s">
        <v>150</v>
      </c>
      <c r="B75" s="2"/>
      <c r="C75" s="2"/>
      <c r="D75" s="2"/>
    </row>
    <row r="76" customFormat="false" ht="15" hidden="false" customHeight="false" outlineLevel="0" collapsed="false">
      <c r="A76" s="3" t="s">
        <v>151</v>
      </c>
      <c r="B76" s="3" t="s">
        <v>97</v>
      </c>
      <c r="C76" s="3" t="s">
        <v>4</v>
      </c>
      <c r="D76" s="3" t="s">
        <v>58</v>
      </c>
    </row>
    <row r="77" customFormat="false" ht="15" hidden="false" customHeight="false" outlineLevel="0" collapsed="false">
      <c r="A77" s="4" t="s">
        <v>152</v>
      </c>
      <c r="B77" s="13" t="n">
        <v>15</v>
      </c>
      <c r="C77" s="4" t="s">
        <v>153</v>
      </c>
      <c r="D77" s="6" t="s">
        <v>154</v>
      </c>
    </row>
    <row r="78" customFormat="false" ht="15" hidden="false" customHeight="false" outlineLevel="0" collapsed="false">
      <c r="A78" s="4" t="s">
        <v>155</v>
      </c>
      <c r="B78" s="11" t="n">
        <v>0.2</v>
      </c>
      <c r="C78" s="4" t="s">
        <v>91</v>
      </c>
      <c r="D78" s="6" t="s">
        <v>156</v>
      </c>
    </row>
    <row r="79" customFormat="false" ht="15" hidden="false" customHeight="false" outlineLevel="0" collapsed="false">
      <c r="A79" s="4" t="s">
        <v>157</v>
      </c>
      <c r="B79" s="13" t="n">
        <v>10</v>
      </c>
      <c r="C79" s="4" t="s">
        <v>158</v>
      </c>
      <c r="D79" s="6" t="s">
        <v>159</v>
      </c>
    </row>
    <row r="80" customFormat="false" ht="15" hidden="false" customHeight="false" outlineLevel="0" collapsed="false">
      <c r="A80" s="4" t="s">
        <v>160</v>
      </c>
      <c r="B80" s="11" t="n">
        <v>0.08</v>
      </c>
      <c r="C80" s="4" t="s">
        <v>91</v>
      </c>
      <c r="D80" s="6" t="s">
        <v>161</v>
      </c>
    </row>
    <row r="81" customFormat="false" ht="15" hidden="false" customHeight="false" outlineLevel="0" collapsed="false">
      <c r="A81" s="4" t="s">
        <v>162</v>
      </c>
      <c r="B81" s="13" t="n">
        <v>5</v>
      </c>
      <c r="C81" s="4" t="s">
        <v>158</v>
      </c>
      <c r="D81" s="6" t="s">
        <v>163</v>
      </c>
    </row>
    <row r="82" customFormat="false" ht="15" hidden="false" customHeight="false" outlineLevel="0" collapsed="false">
      <c r="A82" s="4" t="s">
        <v>164</v>
      </c>
      <c r="B82" s="11" t="n">
        <v>0.15</v>
      </c>
      <c r="C82" s="4" t="s">
        <v>91</v>
      </c>
      <c r="D82" s="6" t="s">
        <v>165</v>
      </c>
    </row>
    <row r="83" customFormat="false" ht="15" hidden="false" customHeight="false" outlineLevel="0" collapsed="false">
      <c r="A83" s="4" t="s">
        <v>166</v>
      </c>
      <c r="B83" s="13" t="n">
        <v>5</v>
      </c>
      <c r="C83" s="4" t="s">
        <v>167</v>
      </c>
      <c r="D83" s="6" t="s">
        <v>168</v>
      </c>
    </row>
    <row r="84" customFormat="false" ht="15" hidden="false" customHeight="false" outlineLevel="0" collapsed="false">
      <c r="A84" s="4" t="s">
        <v>169</v>
      </c>
      <c r="B84" s="7" t="n">
        <v>0</v>
      </c>
      <c r="C84" s="4" t="s">
        <v>121</v>
      </c>
      <c r="D84" s="6" t="s">
        <v>170</v>
      </c>
    </row>
    <row r="85" customFormat="false" ht="15" hidden="false" customHeight="false" outlineLevel="0" collapsed="false">
      <c r="A85" s="4" t="s">
        <v>171</v>
      </c>
      <c r="B85" s="13" t="n">
        <v>12</v>
      </c>
      <c r="C85" s="4" t="s">
        <v>114</v>
      </c>
      <c r="D85" s="6" t="s">
        <v>172</v>
      </c>
    </row>
    <row r="86" customFormat="false" ht="15" hidden="false" customHeight="false" outlineLevel="0" collapsed="false">
      <c r="A86" s="4" t="s">
        <v>173</v>
      </c>
      <c r="B86" s="7" t="n">
        <v>0</v>
      </c>
      <c r="C86" s="4" t="s">
        <v>174</v>
      </c>
      <c r="D86" s="6" t="s">
        <v>175</v>
      </c>
    </row>
  </sheetData>
  <mergeCells count="6">
    <mergeCell ref="A3:D3"/>
    <mergeCell ref="A18:D18"/>
    <mergeCell ref="A29:D29"/>
    <mergeCell ref="A47:D47"/>
    <mergeCell ref="A57:D57"/>
    <mergeCell ref="A75:D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3" min="2" style="0" width="14"/>
  </cols>
  <sheetData>
    <row r="1" customFormat="false" ht="17.35" hidden="false" customHeight="false" outlineLevel="0" collapsed="false">
      <c r="A1" s="1" t="s">
        <v>176</v>
      </c>
    </row>
    <row r="3" customFormat="false" ht="15" hidden="false" customHeight="false" outlineLevel="0" collapsed="false">
      <c r="A3" s="15" t="s">
        <v>177</v>
      </c>
      <c r="B3" s="16" t="s">
        <v>178</v>
      </c>
      <c r="C3" s="16" t="s">
        <v>179</v>
      </c>
      <c r="D3" s="16" t="s">
        <v>180</v>
      </c>
      <c r="E3" s="16" t="s">
        <v>181</v>
      </c>
      <c r="F3" s="16" t="s">
        <v>182</v>
      </c>
      <c r="G3" s="16" t="s">
        <v>183</v>
      </c>
      <c r="H3" s="16" t="s">
        <v>184</v>
      </c>
      <c r="I3" s="16" t="s">
        <v>185</v>
      </c>
      <c r="J3" s="16" t="s">
        <v>186</v>
      </c>
      <c r="K3" s="16" t="s">
        <v>187</v>
      </c>
      <c r="L3" s="16" t="s">
        <v>188</v>
      </c>
      <c r="M3" s="16" t="s">
        <v>189</v>
      </c>
    </row>
    <row r="4" customFormat="false" ht="15" hidden="false" customHeight="false" outlineLevel="0" collapsed="false">
      <c r="A4" s="2" t="s">
        <v>190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A5" s="17" t="s">
        <v>191</v>
      </c>
      <c r="B5" s="13" t="n">
        <v>30</v>
      </c>
      <c r="C5" s="13" t="n">
        <v>30</v>
      </c>
      <c r="D5" s="13" t="n">
        <v>30</v>
      </c>
      <c r="E5" s="13" t="n">
        <v>40</v>
      </c>
      <c r="F5" s="13" t="n">
        <v>40</v>
      </c>
      <c r="G5" s="13" t="n">
        <v>40</v>
      </c>
      <c r="H5" s="13" t="n">
        <v>50</v>
      </c>
      <c r="I5" s="13" t="n">
        <v>50</v>
      </c>
      <c r="J5" s="13" t="n">
        <v>50</v>
      </c>
      <c r="K5" s="13" t="n">
        <v>60</v>
      </c>
      <c r="L5" s="13" t="n">
        <v>60</v>
      </c>
      <c r="M5" s="13" t="n">
        <v>60</v>
      </c>
    </row>
    <row r="6" customFormat="false" ht="15" hidden="false" customHeight="false" outlineLevel="0" collapsed="false">
      <c r="A6" s="4" t="s">
        <v>192</v>
      </c>
      <c r="B6" s="18" t="n">
        <f aca="false">B5*2</f>
        <v>60</v>
      </c>
      <c r="C6" s="18" t="n">
        <f aca="false">C5*2</f>
        <v>60</v>
      </c>
      <c r="D6" s="18" t="n">
        <f aca="false">D5*2</f>
        <v>60</v>
      </c>
      <c r="E6" s="18" t="n">
        <f aca="false">E5*2</f>
        <v>80</v>
      </c>
      <c r="F6" s="18" t="n">
        <f aca="false">F5*2</f>
        <v>80</v>
      </c>
      <c r="G6" s="18" t="n">
        <f aca="false">G5*2</f>
        <v>80</v>
      </c>
      <c r="H6" s="18" t="n">
        <f aca="false">H5*2</f>
        <v>100</v>
      </c>
      <c r="I6" s="18" t="n">
        <f aca="false">I5*2</f>
        <v>100</v>
      </c>
      <c r="J6" s="18" t="n">
        <f aca="false">J5*2</f>
        <v>100</v>
      </c>
      <c r="K6" s="18" t="n">
        <f aca="false">K5*2</f>
        <v>120</v>
      </c>
      <c r="L6" s="18" t="n">
        <f aca="false">L5*2</f>
        <v>120</v>
      </c>
      <c r="M6" s="18" t="n">
        <f aca="false">M5*2</f>
        <v>120</v>
      </c>
    </row>
    <row r="7" customFormat="false" ht="15" hidden="false" customHeight="false" outlineLevel="0" collapsed="false">
      <c r="A7" s="4" t="s">
        <v>193</v>
      </c>
      <c r="B7" s="18" t="n">
        <f aca="false">B6*3</f>
        <v>180</v>
      </c>
      <c r="C7" s="18" t="n">
        <f aca="false">C6*3</f>
        <v>180</v>
      </c>
      <c r="D7" s="18" t="n">
        <f aca="false">D6*3</f>
        <v>180</v>
      </c>
      <c r="E7" s="18" t="n">
        <f aca="false">E6*3</f>
        <v>240</v>
      </c>
      <c r="F7" s="18" t="n">
        <f aca="false">F6*3</f>
        <v>240</v>
      </c>
      <c r="G7" s="18" t="n">
        <f aca="false">G6*3</f>
        <v>240</v>
      </c>
      <c r="H7" s="18" t="n">
        <f aca="false">H6*3</f>
        <v>300</v>
      </c>
      <c r="I7" s="18" t="n">
        <f aca="false">I6*3</f>
        <v>300</v>
      </c>
      <c r="J7" s="18" t="n">
        <f aca="false">J6*3</f>
        <v>300</v>
      </c>
      <c r="K7" s="18" t="n">
        <f aca="false">K6*3</f>
        <v>360</v>
      </c>
      <c r="L7" s="18" t="n">
        <f aca="false">L6*3</f>
        <v>360</v>
      </c>
      <c r="M7" s="18" t="n">
        <f aca="false">M6*3</f>
        <v>360</v>
      </c>
    </row>
    <row r="8" customFormat="false" ht="15" hidden="false" customHeight="false" outlineLevel="0" collapsed="false">
      <c r="A8" s="4" t="s">
        <v>194</v>
      </c>
      <c r="B8" s="19" t="n">
        <f aca="false">B7*0.5*15</f>
        <v>1350</v>
      </c>
      <c r="C8" s="19" t="n">
        <f aca="false">C7*0.5*15</f>
        <v>1350</v>
      </c>
      <c r="D8" s="19" t="n">
        <f aca="false">D7*0.5*15</f>
        <v>1350</v>
      </c>
      <c r="E8" s="19" t="n">
        <f aca="false">E7*0.5*15</f>
        <v>1800</v>
      </c>
      <c r="F8" s="19" t="n">
        <f aca="false">F7*0.5*15</f>
        <v>1800</v>
      </c>
      <c r="G8" s="19" t="n">
        <f aca="false">G7*0.5*15</f>
        <v>1800</v>
      </c>
      <c r="H8" s="19" t="n">
        <f aca="false">H7*0.5*15</f>
        <v>2250</v>
      </c>
      <c r="I8" s="19" t="n">
        <f aca="false">I7*0.5*15</f>
        <v>2250</v>
      </c>
      <c r="J8" s="19" t="n">
        <f aca="false">J7*0.5*15</f>
        <v>2250</v>
      </c>
      <c r="K8" s="19" t="n">
        <f aca="false">K7*0.5*15</f>
        <v>2700</v>
      </c>
      <c r="L8" s="19" t="n">
        <f aca="false">L7*0.5*15</f>
        <v>2700</v>
      </c>
      <c r="M8" s="19" t="n">
        <f aca="false">M7*0.5*15</f>
        <v>2700</v>
      </c>
    </row>
    <row r="9" customFormat="false" ht="15" hidden="false" customHeight="false" outlineLevel="0" collapsed="false">
      <c r="A9" s="4" t="s">
        <v>195</v>
      </c>
      <c r="B9" s="19" t="n">
        <f aca="false">B7*0.17*45</f>
        <v>1377</v>
      </c>
      <c r="C9" s="19" t="n">
        <f aca="false">C7*0.17*45</f>
        <v>1377</v>
      </c>
      <c r="D9" s="19" t="n">
        <f aca="false">D7*0.17*45</f>
        <v>1377</v>
      </c>
      <c r="E9" s="19" t="n">
        <f aca="false">E7*0.17*45</f>
        <v>1836</v>
      </c>
      <c r="F9" s="19" t="n">
        <f aca="false">F7*0.17*45</f>
        <v>1836</v>
      </c>
      <c r="G9" s="19" t="n">
        <f aca="false">G7*0.17*45</f>
        <v>1836</v>
      </c>
      <c r="H9" s="19" t="n">
        <f aca="false">H7*0.17*45</f>
        <v>2295</v>
      </c>
      <c r="I9" s="19" t="n">
        <f aca="false">I7*0.17*45</f>
        <v>2295</v>
      </c>
      <c r="J9" s="19" t="n">
        <f aca="false">J7*0.17*45</f>
        <v>2295</v>
      </c>
      <c r="K9" s="19" t="n">
        <f aca="false">K7*0.17*45</f>
        <v>2754</v>
      </c>
      <c r="L9" s="19" t="n">
        <f aca="false">L7*0.17*45</f>
        <v>2754</v>
      </c>
      <c r="M9" s="19" t="n">
        <f aca="false">M7*0.17*45</f>
        <v>2754</v>
      </c>
    </row>
    <row r="10" customFormat="false" ht="15" hidden="false" customHeight="false" outlineLevel="0" collapsed="false">
      <c r="A10" s="4" t="s">
        <v>196</v>
      </c>
      <c r="B10" s="20" t="n">
        <f aca="false">(B8+B9)*0.0043</f>
        <v>11.7261</v>
      </c>
      <c r="C10" s="20" t="n">
        <f aca="false">(C8+C9)*0.0043</f>
        <v>11.7261</v>
      </c>
      <c r="D10" s="20" t="n">
        <f aca="false">(D8+D9)*0.0043</f>
        <v>11.7261</v>
      </c>
      <c r="E10" s="20" t="n">
        <f aca="false">(E8+E9)*0.0043</f>
        <v>15.6348</v>
      </c>
      <c r="F10" s="20" t="n">
        <f aca="false">(F8+F9)*0.0043</f>
        <v>15.6348</v>
      </c>
      <c r="G10" s="20" t="n">
        <f aca="false">(G8+G9)*0.0043</f>
        <v>15.6348</v>
      </c>
      <c r="H10" s="20" t="n">
        <f aca="false">(H8+H9)*0.0043</f>
        <v>19.5435</v>
      </c>
      <c r="I10" s="20" t="n">
        <f aca="false">(I8+I9)*0.0043</f>
        <v>19.5435</v>
      </c>
      <c r="J10" s="20" t="n">
        <f aca="false">(J8+J9)*0.0043</f>
        <v>19.5435</v>
      </c>
      <c r="K10" s="20" t="n">
        <f aca="false">(K8+K9)*0.0043</f>
        <v>23.4522</v>
      </c>
      <c r="L10" s="20" t="n">
        <f aca="false">(L8+L9)*0.0043</f>
        <v>23.4522</v>
      </c>
      <c r="M10" s="20" t="n">
        <f aca="false">(M8+M9)*0.0043</f>
        <v>23.4522</v>
      </c>
    </row>
    <row r="11" customFormat="false" ht="15" hidden="false" customHeight="false" outlineLevel="0" collapsed="false">
      <c r="A11" s="4" t="s">
        <v>197</v>
      </c>
      <c r="B11" s="18" t="n">
        <f aca="false">B7*3.5</f>
        <v>630</v>
      </c>
      <c r="C11" s="18" t="n">
        <f aca="false">C7*3.5</f>
        <v>630</v>
      </c>
      <c r="D11" s="18" t="n">
        <f aca="false">D7*3.5</f>
        <v>630</v>
      </c>
      <c r="E11" s="18" t="n">
        <f aca="false">E7*3.5</f>
        <v>840</v>
      </c>
      <c r="F11" s="18" t="n">
        <f aca="false">F7*3.5</f>
        <v>840</v>
      </c>
      <c r="G11" s="18" t="n">
        <f aca="false">G7*3.5</f>
        <v>840</v>
      </c>
      <c r="H11" s="18" t="n">
        <f aca="false">H7*3.5</f>
        <v>1050</v>
      </c>
      <c r="I11" s="18" t="n">
        <f aca="false">I7*3.5</f>
        <v>1050</v>
      </c>
      <c r="J11" s="18" t="n">
        <f aca="false">J7*3.5</f>
        <v>1050</v>
      </c>
      <c r="K11" s="18" t="n">
        <f aca="false">K7*3.5</f>
        <v>1260</v>
      </c>
      <c r="L11" s="18" t="n">
        <f aca="false">L7*3.5</f>
        <v>1260</v>
      </c>
      <c r="M11" s="18" t="n">
        <f aca="false">M7*3.5</f>
        <v>1260</v>
      </c>
    </row>
    <row r="12" customFormat="false" ht="15" hidden="false" customHeight="false" outlineLevel="0" collapsed="false">
      <c r="A12" s="4" t="s">
        <v>198</v>
      </c>
      <c r="B12" s="18" t="n">
        <f aca="false">B7*0.5</f>
        <v>90</v>
      </c>
      <c r="C12" s="18" t="n">
        <f aca="false">C7*0.5</f>
        <v>90</v>
      </c>
      <c r="D12" s="18" t="n">
        <f aca="false">D7*0.5</f>
        <v>90</v>
      </c>
      <c r="E12" s="18" t="n">
        <f aca="false">E7*0.5</f>
        <v>120</v>
      </c>
      <c r="F12" s="18" t="n">
        <f aca="false">F7*0.5</f>
        <v>120</v>
      </c>
      <c r="G12" s="18" t="n">
        <f aca="false">G7*0.5</f>
        <v>120</v>
      </c>
      <c r="H12" s="18" t="n">
        <f aca="false">H7*0.5</f>
        <v>150</v>
      </c>
      <c r="I12" s="18" t="n">
        <f aca="false">I7*0.5</f>
        <v>150</v>
      </c>
      <c r="J12" s="18" t="n">
        <f aca="false">J7*0.5</f>
        <v>150</v>
      </c>
      <c r="K12" s="18" t="n">
        <f aca="false">K7*0.5</f>
        <v>180</v>
      </c>
      <c r="L12" s="18" t="n">
        <f aca="false">L7*0.5</f>
        <v>180</v>
      </c>
      <c r="M12" s="18" t="n">
        <f aca="false">M7*0.5</f>
        <v>180</v>
      </c>
    </row>
    <row r="13" customFormat="false" ht="15" hidden="false" customHeight="false" outlineLevel="0" collapsed="false">
      <c r="A13" s="4" t="s">
        <v>199</v>
      </c>
      <c r="B13" s="20" t="n">
        <f aca="false">B11*0.0001+B12*0.0004</f>
        <v>0.099</v>
      </c>
      <c r="C13" s="20" t="n">
        <f aca="false">C11*0.0001+C12*0.0004</f>
        <v>0.099</v>
      </c>
      <c r="D13" s="20" t="n">
        <f aca="false">D11*0.0001+D12*0.0004</f>
        <v>0.099</v>
      </c>
      <c r="E13" s="20" t="n">
        <f aca="false">E11*0.0001+E12*0.0004</f>
        <v>0.132</v>
      </c>
      <c r="F13" s="20" t="n">
        <f aca="false">F11*0.0001+F12*0.0004</f>
        <v>0.132</v>
      </c>
      <c r="G13" s="20" t="n">
        <f aca="false">G11*0.0001+G12*0.0004</f>
        <v>0.132</v>
      </c>
      <c r="H13" s="20" t="n">
        <f aca="false">H11*0.0001+H12*0.0004</f>
        <v>0.165</v>
      </c>
      <c r="I13" s="20" t="n">
        <f aca="false">I11*0.0001+I12*0.0004</f>
        <v>0.165</v>
      </c>
      <c r="J13" s="20" t="n">
        <f aca="false">J11*0.0001+J12*0.0004</f>
        <v>0.165</v>
      </c>
      <c r="K13" s="20" t="n">
        <f aca="false">K11*0.0001+K12*0.0004</f>
        <v>0.198</v>
      </c>
      <c r="L13" s="20" t="n">
        <f aca="false">L11*0.0001+L12*0.0004</f>
        <v>0.198</v>
      </c>
      <c r="M13" s="20" t="n">
        <f aca="false">M11*0.0001+M12*0.0004</f>
        <v>0.198</v>
      </c>
    </row>
    <row r="14" customFormat="false" ht="15" hidden="false" customHeight="false" outlineLevel="0" collapsed="false">
      <c r="A14" s="8" t="s">
        <v>200</v>
      </c>
      <c r="B14" s="21" t="n">
        <f aca="false">B10+B13</f>
        <v>11.8251</v>
      </c>
      <c r="C14" s="21" t="n">
        <f aca="false">C10+C13</f>
        <v>11.8251</v>
      </c>
      <c r="D14" s="21" t="n">
        <f aca="false">D10+D13</f>
        <v>11.8251</v>
      </c>
      <c r="E14" s="21" t="n">
        <f aca="false">E10+E13</f>
        <v>15.7668</v>
      </c>
      <c r="F14" s="21" t="n">
        <f aca="false">F10+F13</f>
        <v>15.7668</v>
      </c>
      <c r="G14" s="21" t="n">
        <f aca="false">G10+G13</f>
        <v>15.7668</v>
      </c>
      <c r="H14" s="21" t="n">
        <f aca="false">H10+H13</f>
        <v>19.7085</v>
      </c>
      <c r="I14" s="21" t="n">
        <f aca="false">I10+I13</f>
        <v>19.7085</v>
      </c>
      <c r="J14" s="21" t="n">
        <f aca="false">J10+J13</f>
        <v>19.7085</v>
      </c>
      <c r="K14" s="21" t="n">
        <f aca="false">K10+K13</f>
        <v>23.6502</v>
      </c>
      <c r="L14" s="21" t="n">
        <f aca="false">L10+L13</f>
        <v>23.6502</v>
      </c>
      <c r="M14" s="21" t="n">
        <f aca="false">M10+M13</f>
        <v>23.6502</v>
      </c>
    </row>
    <row r="16" customFormat="false" ht="15" hidden="false" customHeight="false" outlineLevel="0" collapsed="false">
      <c r="A16" s="2" t="s">
        <v>201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customFormat="false" ht="15" hidden="false" customHeight="false" outlineLevel="0" collapsed="false">
      <c r="A17" s="4" t="s">
        <v>202</v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20</v>
      </c>
      <c r="G17" s="7" t="n">
        <v>20</v>
      </c>
      <c r="H17" s="7" t="n">
        <v>20</v>
      </c>
      <c r="I17" s="7" t="n">
        <v>20</v>
      </c>
      <c r="J17" s="7" t="n">
        <v>20</v>
      </c>
      <c r="K17" s="7" t="n">
        <v>20</v>
      </c>
      <c r="L17" s="7" t="n">
        <v>20</v>
      </c>
      <c r="M17" s="7" t="n">
        <v>20</v>
      </c>
    </row>
    <row r="18" customFormat="false" ht="15" hidden="false" customHeight="false" outlineLevel="0" collapsed="false">
      <c r="A18" s="4" t="s">
        <v>44</v>
      </c>
      <c r="B18" s="7" t="n">
        <v>25</v>
      </c>
      <c r="C18" s="7" t="n">
        <v>25</v>
      </c>
      <c r="D18" s="7" t="n">
        <v>25</v>
      </c>
      <c r="E18" s="7" t="n">
        <v>25</v>
      </c>
      <c r="F18" s="7" t="n">
        <v>25</v>
      </c>
      <c r="G18" s="7" t="n">
        <v>25</v>
      </c>
      <c r="H18" s="7" t="n">
        <v>25</v>
      </c>
      <c r="I18" s="7" t="n">
        <v>25</v>
      </c>
      <c r="J18" s="7" t="n">
        <v>25</v>
      </c>
      <c r="K18" s="7" t="n">
        <v>25</v>
      </c>
      <c r="L18" s="7" t="n">
        <v>25</v>
      </c>
      <c r="M18" s="7" t="n">
        <v>25</v>
      </c>
    </row>
    <row r="19" customFormat="false" ht="15" hidden="false" customHeight="false" outlineLevel="0" collapsed="false">
      <c r="A19" s="4" t="s">
        <v>203</v>
      </c>
      <c r="B19" s="7" t="n">
        <v>1</v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1</v>
      </c>
      <c r="M19" s="7" t="n">
        <v>1</v>
      </c>
    </row>
    <row r="20" customFormat="false" ht="15" hidden="false" customHeight="false" outlineLevel="0" collapsed="false">
      <c r="A20" s="8" t="s">
        <v>204</v>
      </c>
      <c r="B20" s="9" t="n">
        <f aca="false">B17+B18+B19</f>
        <v>26</v>
      </c>
      <c r="C20" s="9" t="n">
        <f aca="false">C17+C18+C19</f>
        <v>26</v>
      </c>
      <c r="D20" s="9" t="n">
        <f aca="false">D17+D18+D19</f>
        <v>26</v>
      </c>
      <c r="E20" s="9" t="n">
        <f aca="false">E17+E18+E19</f>
        <v>26</v>
      </c>
      <c r="F20" s="9" t="n">
        <f aca="false">F17+F18+F19</f>
        <v>46</v>
      </c>
      <c r="G20" s="9" t="n">
        <f aca="false">G17+G18+G19</f>
        <v>46</v>
      </c>
      <c r="H20" s="9" t="n">
        <f aca="false">H17+H18+H19</f>
        <v>46</v>
      </c>
      <c r="I20" s="9" t="n">
        <f aca="false">I17+I18+I19</f>
        <v>46</v>
      </c>
      <c r="J20" s="9" t="n">
        <f aca="false">J17+J18+J19</f>
        <v>46</v>
      </c>
      <c r="K20" s="9" t="n">
        <f aca="false">K17+K18+K19</f>
        <v>46</v>
      </c>
      <c r="L20" s="9" t="n">
        <f aca="false">L17+L18+L19</f>
        <v>46</v>
      </c>
      <c r="M20" s="9" t="n">
        <f aca="false">M17+M18+M19</f>
        <v>46</v>
      </c>
    </row>
    <row r="22" customFormat="false" ht="15" hidden="false" customHeight="false" outlineLevel="0" collapsed="false">
      <c r="A22" s="2" t="s">
        <v>205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customFormat="false" ht="15" hidden="false" customHeight="false" outlineLevel="0" collapsed="false">
      <c r="A23" s="22" t="s">
        <v>206</v>
      </c>
      <c r="B23" s="23" t="n">
        <f aca="false">B14+B20</f>
        <v>37.8251</v>
      </c>
      <c r="C23" s="23" t="n">
        <f aca="false">C14+C20</f>
        <v>37.8251</v>
      </c>
      <c r="D23" s="23" t="n">
        <f aca="false">D14+D20</f>
        <v>37.8251</v>
      </c>
      <c r="E23" s="23" t="n">
        <f aca="false">E14+E20</f>
        <v>41.7668</v>
      </c>
      <c r="F23" s="23" t="n">
        <f aca="false">F14+F20</f>
        <v>61.7668</v>
      </c>
      <c r="G23" s="23" t="n">
        <f aca="false">G14+G20</f>
        <v>61.7668</v>
      </c>
      <c r="H23" s="23" t="n">
        <f aca="false">H14+H20</f>
        <v>65.7085</v>
      </c>
      <c r="I23" s="23" t="n">
        <f aca="false">I14+I20</f>
        <v>65.7085</v>
      </c>
      <c r="J23" s="23" t="n">
        <f aca="false">J14+J20</f>
        <v>65.7085</v>
      </c>
      <c r="K23" s="23" t="n">
        <f aca="false">K14+K20</f>
        <v>69.6502</v>
      </c>
      <c r="L23" s="23" t="n">
        <f aca="false">L14+L20</f>
        <v>69.6502</v>
      </c>
      <c r="M23" s="23" t="n">
        <f aca="false">M14+M20</f>
        <v>69.6502</v>
      </c>
    </row>
  </sheetData>
  <mergeCells count="3">
    <mergeCell ref="A4:M4"/>
    <mergeCell ref="A16:M16"/>
    <mergeCell ref="A22:M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3" min="2" style="0" width="14"/>
  </cols>
  <sheetData>
    <row r="1" customFormat="false" ht="17.35" hidden="false" customHeight="false" outlineLevel="0" collapsed="false">
      <c r="A1" s="1" t="s">
        <v>207</v>
      </c>
    </row>
    <row r="3" customFormat="false" ht="15" hidden="false" customHeight="false" outlineLevel="0" collapsed="false">
      <c r="A3" s="15" t="s">
        <v>177</v>
      </c>
      <c r="B3" s="16" t="s">
        <v>178</v>
      </c>
      <c r="C3" s="16" t="s">
        <v>179</v>
      </c>
      <c r="D3" s="16" t="s">
        <v>180</v>
      </c>
      <c r="E3" s="16" t="s">
        <v>181</v>
      </c>
      <c r="F3" s="16" t="s">
        <v>182</v>
      </c>
      <c r="G3" s="16" t="s">
        <v>183</v>
      </c>
      <c r="H3" s="16" t="s">
        <v>184</v>
      </c>
      <c r="I3" s="16" t="s">
        <v>185</v>
      </c>
      <c r="J3" s="16" t="s">
        <v>186</v>
      </c>
      <c r="K3" s="16" t="s">
        <v>187</v>
      </c>
      <c r="L3" s="16" t="s">
        <v>188</v>
      </c>
      <c r="M3" s="16" t="s">
        <v>189</v>
      </c>
    </row>
    <row r="4" customFormat="false" ht="15" hidden="false" customHeight="false" outlineLevel="0" collapsed="false">
      <c r="A4" s="2" t="s">
        <v>208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A5" s="4" t="s">
        <v>209</v>
      </c>
      <c r="B5" s="13" t="n">
        <v>10</v>
      </c>
      <c r="C5" s="13" t="n">
        <v>20</v>
      </c>
      <c r="D5" s="13" t="n">
        <v>30</v>
      </c>
      <c r="E5" s="13" t="n">
        <v>40</v>
      </c>
      <c r="F5" s="13" t="n">
        <v>55</v>
      </c>
      <c r="G5" s="13" t="n">
        <v>70</v>
      </c>
      <c r="H5" s="13" t="n">
        <v>85</v>
      </c>
      <c r="I5" s="13" t="n">
        <v>100</v>
      </c>
      <c r="J5" s="13" t="n">
        <v>120</v>
      </c>
      <c r="K5" s="13" t="n">
        <v>140</v>
      </c>
      <c r="L5" s="13" t="n">
        <v>165</v>
      </c>
      <c r="M5" s="13" t="n">
        <v>195</v>
      </c>
    </row>
    <row r="6" customFormat="false" ht="15" hidden="false" customHeight="false" outlineLevel="0" collapsed="false">
      <c r="A6" s="4" t="s">
        <v>210</v>
      </c>
      <c r="B6" s="13" t="n">
        <v>2</v>
      </c>
      <c r="C6" s="13" t="n">
        <v>3</v>
      </c>
      <c r="D6" s="13" t="n">
        <v>5</v>
      </c>
      <c r="E6" s="13" t="n">
        <v>7</v>
      </c>
      <c r="F6" s="13" t="n">
        <v>9</v>
      </c>
      <c r="G6" s="13" t="n">
        <v>12</v>
      </c>
      <c r="H6" s="13" t="n">
        <v>15</v>
      </c>
      <c r="I6" s="13" t="n">
        <v>18</v>
      </c>
      <c r="J6" s="13" t="n">
        <v>22</v>
      </c>
      <c r="K6" s="13" t="n">
        <v>27</v>
      </c>
      <c r="L6" s="13" t="n">
        <v>33</v>
      </c>
      <c r="M6" s="13" t="n">
        <v>40</v>
      </c>
    </row>
    <row r="7" customFormat="false" ht="15" hidden="false" customHeight="false" outlineLevel="0" collapsed="false">
      <c r="A7" s="4" t="s">
        <v>211</v>
      </c>
      <c r="B7" s="13" t="n">
        <v>0</v>
      </c>
      <c r="C7" s="13" t="n">
        <v>0</v>
      </c>
      <c r="D7" s="13" t="n">
        <v>0</v>
      </c>
      <c r="E7" s="13" t="n">
        <v>1</v>
      </c>
      <c r="F7" s="13" t="n">
        <v>1</v>
      </c>
      <c r="G7" s="13" t="n">
        <v>2</v>
      </c>
      <c r="H7" s="13" t="n">
        <v>2</v>
      </c>
      <c r="I7" s="13" t="n">
        <v>3</v>
      </c>
      <c r="J7" s="13" t="n">
        <v>4</v>
      </c>
      <c r="K7" s="13" t="n">
        <v>5</v>
      </c>
      <c r="L7" s="13" t="n">
        <v>6</v>
      </c>
      <c r="M7" s="13" t="n">
        <v>8</v>
      </c>
    </row>
    <row r="8" customFormat="false" ht="15" hidden="false" customHeight="false" outlineLevel="0" collapsed="false">
      <c r="A8" s="8" t="s">
        <v>212</v>
      </c>
      <c r="B8" s="24" t="n">
        <f aca="false">B6+B7</f>
        <v>2</v>
      </c>
      <c r="C8" s="24" t="n">
        <f aca="false">C6+C7</f>
        <v>3</v>
      </c>
      <c r="D8" s="24" t="n">
        <f aca="false">D6+D7</f>
        <v>5</v>
      </c>
      <c r="E8" s="24" t="n">
        <f aca="false">E6+E7</f>
        <v>8</v>
      </c>
      <c r="F8" s="24" t="n">
        <f aca="false">F6+F7</f>
        <v>10</v>
      </c>
      <c r="G8" s="24" t="n">
        <f aca="false">G6+G7</f>
        <v>14</v>
      </c>
      <c r="H8" s="24" t="n">
        <f aca="false">H6+H7</f>
        <v>17</v>
      </c>
      <c r="I8" s="24" t="n">
        <f aca="false">I6+I7</f>
        <v>21</v>
      </c>
      <c r="J8" s="24" t="n">
        <f aca="false">J6+J7</f>
        <v>26</v>
      </c>
      <c r="K8" s="24" t="n">
        <f aca="false">K6+K7</f>
        <v>32</v>
      </c>
      <c r="L8" s="24" t="n">
        <f aca="false">L6+L7</f>
        <v>39</v>
      </c>
      <c r="M8" s="24" t="n">
        <f aca="false">M6+M7</f>
        <v>48</v>
      </c>
    </row>
    <row r="9" customFormat="false" ht="15" hidden="false" customHeight="false" outlineLevel="0" collapsed="false">
      <c r="A9" s="8" t="s">
        <v>213</v>
      </c>
      <c r="B9" s="24" t="n">
        <f aca="false">B5+B8</f>
        <v>12</v>
      </c>
      <c r="C9" s="24" t="n">
        <f aca="false">C5+C8</f>
        <v>23</v>
      </c>
      <c r="D9" s="24" t="n">
        <f aca="false">D5+D8</f>
        <v>35</v>
      </c>
      <c r="E9" s="24" t="n">
        <f aca="false">E5+E8</f>
        <v>48</v>
      </c>
      <c r="F9" s="24" t="n">
        <f aca="false">F5+F8</f>
        <v>65</v>
      </c>
      <c r="G9" s="24" t="n">
        <f aca="false">G5+G8</f>
        <v>84</v>
      </c>
      <c r="H9" s="24" t="n">
        <f aca="false">H5+H8</f>
        <v>102</v>
      </c>
      <c r="I9" s="24" t="n">
        <f aca="false">I5+I8</f>
        <v>121</v>
      </c>
      <c r="J9" s="24" t="n">
        <f aca="false">J5+J8</f>
        <v>146</v>
      </c>
      <c r="K9" s="24" t="n">
        <f aca="false">K5+K8</f>
        <v>172</v>
      </c>
      <c r="L9" s="24" t="n">
        <f aca="false">L5+L8</f>
        <v>204</v>
      </c>
      <c r="M9" s="24" t="n">
        <f aca="false">M5+M8</f>
        <v>243</v>
      </c>
    </row>
    <row r="11" customFormat="false" ht="15" hidden="false" customHeight="false" outlineLevel="0" collapsed="false">
      <c r="A11" s="2" t="s">
        <v>214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customFormat="false" ht="15" hidden="false" customHeight="false" outlineLevel="0" collapsed="false">
      <c r="A12" s="4" t="s">
        <v>215</v>
      </c>
      <c r="B12" s="20" t="n">
        <f aca="false">B6*9.99</f>
        <v>19.98</v>
      </c>
      <c r="C12" s="20" t="n">
        <f aca="false">C6*9.99</f>
        <v>29.97</v>
      </c>
      <c r="D12" s="20" t="n">
        <f aca="false">D6*9.99</f>
        <v>49.95</v>
      </c>
      <c r="E12" s="20" t="n">
        <f aca="false">E6*9.99</f>
        <v>69.93</v>
      </c>
      <c r="F12" s="20" t="n">
        <f aca="false">F6*9.99</f>
        <v>89.91</v>
      </c>
      <c r="G12" s="20" t="n">
        <f aca="false">G6*9.99</f>
        <v>119.88</v>
      </c>
      <c r="H12" s="20" t="n">
        <f aca="false">H6*9.99</f>
        <v>149.85</v>
      </c>
      <c r="I12" s="20" t="n">
        <f aca="false">I6*9.99</f>
        <v>179.82</v>
      </c>
      <c r="J12" s="20" t="n">
        <f aca="false">J6*9.99</f>
        <v>219.78</v>
      </c>
      <c r="K12" s="20" t="n">
        <f aca="false">K6*9.99</f>
        <v>269.73</v>
      </c>
      <c r="L12" s="20" t="n">
        <f aca="false">L6*9.99</f>
        <v>329.67</v>
      </c>
      <c r="M12" s="20" t="n">
        <f aca="false">M6*9.99</f>
        <v>399.6</v>
      </c>
    </row>
    <row r="13" customFormat="false" ht="15" hidden="false" customHeight="false" outlineLevel="0" collapsed="false">
      <c r="A13" s="4" t="s">
        <v>216</v>
      </c>
      <c r="B13" s="20" t="n">
        <f aca="false">B7*24.99</f>
        <v>0</v>
      </c>
      <c r="C13" s="20" t="n">
        <f aca="false">C7*24.99</f>
        <v>0</v>
      </c>
      <c r="D13" s="20" t="n">
        <f aca="false">D7*24.99</f>
        <v>0</v>
      </c>
      <c r="E13" s="20" t="n">
        <f aca="false">E7*24.99</f>
        <v>24.99</v>
      </c>
      <c r="F13" s="20" t="n">
        <f aca="false">F7*24.99</f>
        <v>24.99</v>
      </c>
      <c r="G13" s="20" t="n">
        <f aca="false">G7*24.99</f>
        <v>49.98</v>
      </c>
      <c r="H13" s="20" t="n">
        <f aca="false">H7*24.99</f>
        <v>49.98</v>
      </c>
      <c r="I13" s="20" t="n">
        <f aca="false">I7*24.99</f>
        <v>74.97</v>
      </c>
      <c r="J13" s="20" t="n">
        <f aca="false">J7*24.99</f>
        <v>99.96</v>
      </c>
      <c r="K13" s="20" t="n">
        <f aca="false">K7*24.99</f>
        <v>124.95</v>
      </c>
      <c r="L13" s="20" t="n">
        <f aca="false">L7*24.99</f>
        <v>149.94</v>
      </c>
      <c r="M13" s="20" t="n">
        <f aca="false">M7*24.99</f>
        <v>199.92</v>
      </c>
    </row>
    <row r="14" customFormat="false" ht="15" hidden="false" customHeight="false" outlineLevel="0" collapsed="false">
      <c r="A14" s="4" t="s">
        <v>217</v>
      </c>
      <c r="B14" s="20" t="n">
        <f aca="false">B5*0.1*2.5+B6*0.05*2.5</f>
        <v>2.75</v>
      </c>
      <c r="C14" s="20" t="n">
        <f aca="false">C5*0.1*2.5+C6*0.05*2.5</f>
        <v>5.375</v>
      </c>
      <c r="D14" s="20" t="n">
        <f aca="false">D5*0.1*2.5+D6*0.05*2.5</f>
        <v>8.125</v>
      </c>
      <c r="E14" s="20" t="n">
        <f aca="false">E5*0.1*2.5+E6*0.05*2.5</f>
        <v>10.875</v>
      </c>
      <c r="F14" s="20" t="n">
        <f aca="false">F5*0.1*2.5+F6*0.05*2.5</f>
        <v>14.875</v>
      </c>
      <c r="G14" s="20" t="n">
        <f aca="false">G5*0.1*2.5+G6*0.05*2.5</f>
        <v>19</v>
      </c>
      <c r="H14" s="20" t="n">
        <f aca="false">H5*0.1*2.5+H6*0.05*2.5</f>
        <v>23.125</v>
      </c>
      <c r="I14" s="20" t="n">
        <f aca="false">I5*0.1*2.5+I6*0.05*2.5</f>
        <v>27.25</v>
      </c>
      <c r="J14" s="20" t="n">
        <f aca="false">J5*0.1*2.5+J6*0.05*2.5</f>
        <v>32.75</v>
      </c>
      <c r="K14" s="20" t="n">
        <f aca="false">K5*0.1*2.5+K6*0.05*2.5</f>
        <v>38.375</v>
      </c>
      <c r="L14" s="20" t="n">
        <f aca="false">L5*0.1*2.5+L6*0.05*2.5</f>
        <v>45.375</v>
      </c>
      <c r="M14" s="20" t="n">
        <f aca="false">M5*0.1*2.5+M6*0.05*2.5</f>
        <v>53.75</v>
      </c>
    </row>
    <row r="15" customFormat="false" ht="15" hidden="false" customHeight="false" outlineLevel="0" collapsed="false">
      <c r="A15" s="8" t="s">
        <v>218</v>
      </c>
      <c r="B15" s="25" t="n">
        <f aca="false">B12+B13+B14</f>
        <v>22.73</v>
      </c>
      <c r="C15" s="25" t="n">
        <f aca="false">C12+C13+C14</f>
        <v>35.345</v>
      </c>
      <c r="D15" s="25" t="n">
        <f aca="false">D12+D13+D14</f>
        <v>58.075</v>
      </c>
      <c r="E15" s="25" t="n">
        <f aca="false">E12+E13+E14</f>
        <v>105.795</v>
      </c>
      <c r="F15" s="25" t="n">
        <f aca="false">F12+F13+F14</f>
        <v>129.775</v>
      </c>
      <c r="G15" s="25" t="n">
        <f aca="false">G12+G13+G14</f>
        <v>188.86</v>
      </c>
      <c r="H15" s="25" t="n">
        <f aca="false">H12+H13+H14</f>
        <v>222.955</v>
      </c>
      <c r="I15" s="25" t="n">
        <f aca="false">I12+I13+I14</f>
        <v>282.04</v>
      </c>
      <c r="J15" s="25" t="n">
        <f aca="false">J12+J13+J14</f>
        <v>352.49</v>
      </c>
      <c r="K15" s="25" t="n">
        <f aca="false">K12+K13+K14</f>
        <v>433.055</v>
      </c>
      <c r="L15" s="25" t="n">
        <f aca="false">L12+L13+L14</f>
        <v>524.985</v>
      </c>
      <c r="M15" s="25" t="n">
        <f aca="false">M12+M13+M14</f>
        <v>653.27</v>
      </c>
    </row>
    <row r="16" customFormat="false" ht="15" hidden="false" customHeight="false" outlineLevel="0" collapsed="false">
      <c r="A16" s="4" t="s">
        <v>219</v>
      </c>
      <c r="B16" s="26" t="n">
        <f aca="false">B15*0.029+B8*0.3</f>
        <v>1.25917</v>
      </c>
      <c r="C16" s="26" t="n">
        <f aca="false">C15*0.029+C8*0.3</f>
        <v>1.925005</v>
      </c>
      <c r="D16" s="26" t="n">
        <f aca="false">D15*0.029+D8*0.3</f>
        <v>3.184175</v>
      </c>
      <c r="E16" s="26" t="n">
        <f aca="false">E15*0.029+E8*0.3</f>
        <v>5.468055</v>
      </c>
      <c r="F16" s="26" t="n">
        <f aca="false">F15*0.029+F8*0.3</f>
        <v>6.763475</v>
      </c>
      <c r="G16" s="26" t="n">
        <f aca="false">G15*0.029+G8*0.3</f>
        <v>9.67694</v>
      </c>
      <c r="H16" s="26" t="n">
        <f aca="false">H15*0.029+H8*0.3</f>
        <v>11.565695</v>
      </c>
      <c r="I16" s="26" t="n">
        <f aca="false">I15*0.029+I8*0.3</f>
        <v>14.47916</v>
      </c>
      <c r="J16" s="26" t="n">
        <f aca="false">J15*0.029+J8*0.3</f>
        <v>18.02221</v>
      </c>
      <c r="K16" s="26" t="n">
        <f aca="false">K15*0.029+K8*0.3</f>
        <v>22.158595</v>
      </c>
      <c r="L16" s="26" t="n">
        <f aca="false">L15*0.029+L8*0.3</f>
        <v>26.924565</v>
      </c>
      <c r="M16" s="26" t="n">
        <f aca="false">M15*0.029+M8*0.3</f>
        <v>33.34483</v>
      </c>
    </row>
    <row r="17" customFormat="false" ht="15" hidden="false" customHeight="false" outlineLevel="0" collapsed="false">
      <c r="A17" s="8" t="s">
        <v>220</v>
      </c>
      <c r="B17" s="27" t="n">
        <f aca="false">B15-B16</f>
        <v>21.47083</v>
      </c>
      <c r="C17" s="27" t="n">
        <f aca="false">C15-C16</f>
        <v>33.419995</v>
      </c>
      <c r="D17" s="27" t="n">
        <f aca="false">D15-D16</f>
        <v>54.890825</v>
      </c>
      <c r="E17" s="27" t="n">
        <f aca="false">E15-E16</f>
        <v>100.326945</v>
      </c>
      <c r="F17" s="27" t="n">
        <f aca="false">F15-F16</f>
        <v>123.011525</v>
      </c>
      <c r="G17" s="27" t="n">
        <f aca="false">G15-G16</f>
        <v>179.18306</v>
      </c>
      <c r="H17" s="27" t="n">
        <f aca="false">H15-H16</f>
        <v>211.389305</v>
      </c>
      <c r="I17" s="27" t="n">
        <f aca="false">I15-I16</f>
        <v>267.56084</v>
      </c>
      <c r="J17" s="27" t="n">
        <f aca="false">J15-J16</f>
        <v>334.46779</v>
      </c>
      <c r="K17" s="27" t="n">
        <f aca="false">K15-K16</f>
        <v>410.896405</v>
      </c>
      <c r="L17" s="27" t="n">
        <f aca="false">L15-L16</f>
        <v>498.060435</v>
      </c>
      <c r="M17" s="27" t="n">
        <f aca="false">M15-M16</f>
        <v>619.92517</v>
      </c>
    </row>
    <row r="19" customFormat="false" ht="15" hidden="false" customHeight="false" outlineLevel="0" collapsed="false">
      <c r="A19" s="2" t="s">
        <v>221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customFormat="false" ht="15" hidden="false" customHeight="false" outlineLevel="0" collapsed="false">
      <c r="A20" s="4" t="s">
        <v>222</v>
      </c>
      <c r="B20" s="20" t="n">
        <f aca="false">IF(B8&gt;0,B17/B8,0)</f>
        <v>10.735415</v>
      </c>
      <c r="C20" s="20" t="n">
        <f aca="false">IF(C8&gt;0,C17/C8,0)</f>
        <v>11.1399983333333</v>
      </c>
      <c r="D20" s="20" t="n">
        <f aca="false">IF(D8&gt;0,D17/D8,0)</f>
        <v>10.978165</v>
      </c>
      <c r="E20" s="20" t="n">
        <f aca="false">IF(E8&gt;0,E17/E8,0)</f>
        <v>12.540868125</v>
      </c>
      <c r="F20" s="20" t="n">
        <f aca="false">IF(F8&gt;0,F17/F8,0)</f>
        <v>12.3011525</v>
      </c>
      <c r="G20" s="20" t="n">
        <f aca="false">IF(G8&gt;0,G17/G8,0)</f>
        <v>12.79879</v>
      </c>
      <c r="H20" s="20" t="n">
        <f aca="false">IF(H8&gt;0,H17/H8,0)</f>
        <v>12.434665</v>
      </c>
      <c r="I20" s="20" t="n">
        <f aca="false">IF(I8&gt;0,I17/I8,0)</f>
        <v>12.7409923809524</v>
      </c>
      <c r="J20" s="20" t="n">
        <f aca="false">IF(J8&gt;0,J17/J8,0)</f>
        <v>12.8641457692308</v>
      </c>
      <c r="K20" s="20" t="n">
        <f aca="false">IF(K8&gt;0,K17/K8,0)</f>
        <v>12.84051265625</v>
      </c>
      <c r="L20" s="20" t="n">
        <f aca="false">IF(L8&gt;0,L17/L8,0)</f>
        <v>12.7707803846154</v>
      </c>
      <c r="M20" s="20" t="n">
        <f aca="false">IF(M8&gt;0,M17/M8,0)</f>
        <v>12.9151077083333</v>
      </c>
    </row>
    <row r="21" customFormat="false" ht="15" hidden="false" customHeight="false" outlineLevel="0" collapsed="false">
      <c r="A21" s="4" t="s">
        <v>223</v>
      </c>
      <c r="B21" s="28" t="n">
        <f aca="false">'Cost Model (12mo)'!B23</f>
        <v>37.8251</v>
      </c>
      <c r="C21" s="28" t="n">
        <f aca="false">'Cost Model (12mo)'!C23</f>
        <v>37.8251</v>
      </c>
      <c r="D21" s="28" t="n">
        <f aca="false">'Cost Model (12mo)'!D23</f>
        <v>37.8251</v>
      </c>
      <c r="E21" s="28" t="n">
        <f aca="false">'Cost Model (12mo)'!E23</f>
        <v>41.7668</v>
      </c>
      <c r="F21" s="28" t="n">
        <f aca="false">'Cost Model (12mo)'!F23</f>
        <v>61.7668</v>
      </c>
      <c r="G21" s="28" t="n">
        <f aca="false">'Cost Model (12mo)'!G23</f>
        <v>61.7668</v>
      </c>
      <c r="H21" s="28" t="n">
        <f aca="false">'Cost Model (12mo)'!H23</f>
        <v>65.7085</v>
      </c>
      <c r="I21" s="28" t="n">
        <f aca="false">'Cost Model (12mo)'!I23</f>
        <v>65.7085</v>
      </c>
      <c r="J21" s="28" t="n">
        <f aca="false">'Cost Model (12mo)'!J23</f>
        <v>65.7085</v>
      </c>
      <c r="K21" s="28" t="n">
        <f aca="false">'Cost Model (12mo)'!K23</f>
        <v>69.6502</v>
      </c>
      <c r="L21" s="28" t="n">
        <f aca="false">'Cost Model (12mo)'!L23</f>
        <v>69.6502</v>
      </c>
      <c r="M21" s="28" t="n">
        <f aca="false">'Cost Model (12mo)'!M23</f>
        <v>69.6502</v>
      </c>
    </row>
    <row r="22" customFormat="false" ht="15" hidden="false" customHeight="false" outlineLevel="0" collapsed="false">
      <c r="A22" s="4" t="s">
        <v>224</v>
      </c>
      <c r="B22" s="20" t="n">
        <f aca="false">IF(B8&gt;0,B21/B8,0)</f>
        <v>18.91255</v>
      </c>
      <c r="C22" s="20" t="n">
        <f aca="false">IF(C8&gt;0,C21/C8,0)</f>
        <v>12.6083666666667</v>
      </c>
      <c r="D22" s="20" t="n">
        <f aca="false">IF(D8&gt;0,D21/D8,0)</f>
        <v>7.56502</v>
      </c>
      <c r="E22" s="20" t="n">
        <f aca="false">IF(E8&gt;0,E21/E8,0)</f>
        <v>5.22085</v>
      </c>
      <c r="F22" s="20" t="n">
        <f aca="false">IF(F8&gt;0,F21/F8,0)</f>
        <v>6.17668</v>
      </c>
      <c r="G22" s="20" t="n">
        <f aca="false">IF(G8&gt;0,G21/G8,0)</f>
        <v>4.41191428571429</v>
      </c>
      <c r="H22" s="20" t="n">
        <f aca="false">IF(H8&gt;0,H21/H8,0)</f>
        <v>3.86520588235294</v>
      </c>
      <c r="I22" s="20" t="n">
        <f aca="false">IF(I8&gt;0,I21/I8,0)</f>
        <v>3.12897619047619</v>
      </c>
      <c r="J22" s="20" t="n">
        <f aca="false">IF(J8&gt;0,J21/J8,0)</f>
        <v>2.52725</v>
      </c>
      <c r="K22" s="20" t="n">
        <f aca="false">IF(K8&gt;0,K21/K8,0)</f>
        <v>2.17656875</v>
      </c>
      <c r="L22" s="20" t="n">
        <f aca="false">IF(L8&gt;0,L21/L8,0)</f>
        <v>1.78590256410256</v>
      </c>
      <c r="M22" s="20" t="n">
        <f aca="false">IF(M8&gt;0,M21/M8,0)</f>
        <v>1.45104583333333</v>
      </c>
    </row>
    <row r="23" customFormat="false" ht="15" hidden="false" customHeight="false" outlineLevel="0" collapsed="false">
      <c r="A23" s="4" t="s">
        <v>225</v>
      </c>
      <c r="B23" s="20" t="n">
        <f aca="false">B20-B22</f>
        <v>-8.177135</v>
      </c>
      <c r="C23" s="20" t="n">
        <f aca="false">C20-C22</f>
        <v>-1.46836833333333</v>
      </c>
      <c r="D23" s="20" t="n">
        <f aca="false">D20-D22</f>
        <v>3.413145</v>
      </c>
      <c r="E23" s="20" t="n">
        <f aca="false">E20-E22</f>
        <v>7.320018125</v>
      </c>
      <c r="F23" s="20" t="n">
        <f aca="false">F20-F22</f>
        <v>6.1244725</v>
      </c>
      <c r="G23" s="20" t="n">
        <f aca="false">G20-G22</f>
        <v>8.38687571428571</v>
      </c>
      <c r="H23" s="20" t="n">
        <f aca="false">H20-H22</f>
        <v>8.56945911764706</v>
      </c>
      <c r="I23" s="20" t="n">
        <f aca="false">I20-I22</f>
        <v>9.61201619047619</v>
      </c>
      <c r="J23" s="20" t="n">
        <f aca="false">J20-J22</f>
        <v>10.3368957692308</v>
      </c>
      <c r="K23" s="20" t="n">
        <f aca="false">K20-K22</f>
        <v>10.66394390625</v>
      </c>
      <c r="L23" s="20" t="n">
        <f aca="false">L20-L22</f>
        <v>10.9848778205128</v>
      </c>
      <c r="M23" s="20" t="n">
        <f aca="false">M20-M22</f>
        <v>11.464061875</v>
      </c>
    </row>
    <row r="24" customFormat="false" ht="15" hidden="false" customHeight="false" outlineLevel="0" collapsed="false">
      <c r="A24" s="8" t="s">
        <v>226</v>
      </c>
      <c r="B24" s="29" t="n">
        <f aca="false">B21-B17</f>
        <v>16.35427</v>
      </c>
      <c r="C24" s="29" t="n">
        <f aca="false">C21-C17</f>
        <v>4.405105</v>
      </c>
      <c r="D24" s="29" t="n">
        <f aca="false">D21-D17</f>
        <v>-17.065725</v>
      </c>
      <c r="E24" s="29" t="n">
        <f aca="false">E21-E17</f>
        <v>-58.560145</v>
      </c>
      <c r="F24" s="29" t="n">
        <f aca="false">F21-F17</f>
        <v>-61.244725</v>
      </c>
      <c r="G24" s="29" t="n">
        <f aca="false">G21-G17</f>
        <v>-117.41626</v>
      </c>
      <c r="H24" s="29" t="n">
        <f aca="false">H21-H17</f>
        <v>-145.680805</v>
      </c>
      <c r="I24" s="29" t="n">
        <f aca="false">I21-I17</f>
        <v>-201.85234</v>
      </c>
      <c r="J24" s="29" t="n">
        <f aca="false">J21-J17</f>
        <v>-268.75929</v>
      </c>
      <c r="K24" s="29" t="n">
        <f aca="false">K21-K17</f>
        <v>-341.246205</v>
      </c>
      <c r="L24" s="29" t="n">
        <f aca="false">L21-L17</f>
        <v>-428.410235</v>
      </c>
      <c r="M24" s="29" t="n">
        <f aca="false">M21-M17</f>
        <v>-550.27497</v>
      </c>
    </row>
  </sheetData>
  <mergeCells count="3">
    <mergeCell ref="A4:M4"/>
    <mergeCell ref="A11:M11"/>
    <mergeCell ref="A19:M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2026-04-07T10:30:54Z</dcterms:created>
  <dc:creator>openpyxl</dc:creator>
  <dc:description/>
  <dc:language>en-US</dc:language>
  <cp:lastModifiedBy/>
  <dcterms:modified xsi:type="dcterms:W3CDTF">2026-04-07T10:30:54Z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